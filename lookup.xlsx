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esktop\"/>
    </mc:Choice>
  </mc:AlternateContent>
  <xr:revisionPtr revIDLastSave="0" documentId="13_ncr:1_{4F09C0B9-EF87-49AB-B54E-ABD0F653A8B7}" xr6:coauthVersionLast="47" xr6:coauthVersionMax="47" xr10:uidLastSave="{00000000-0000-0000-0000-000000000000}"/>
  <bookViews>
    <workbookView xWindow="-108" yWindow="-108" windowWidth="23256" windowHeight="12456" activeTab="1" xr2:uid="{B16B0121-EE6D-42B2-B633-CD814FCB21EE}"/>
  </bookViews>
  <sheets>
    <sheet name="XLookup" sheetId="1" r:id="rId1"/>
    <sheet name="VLookup" sheetId="2" r:id="rId2"/>
    <sheet name="HLookup" sheetId="3" r:id="rId3"/>
  </sheets>
  <definedNames>
    <definedName name="Employee_ID">XLookup!$I$6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3" l="1"/>
  <c r="D28" i="3"/>
  <c r="D25" i="3"/>
  <c r="D23" i="3"/>
  <c r="D21" i="3"/>
  <c r="K18" i="2"/>
  <c r="K16" i="2"/>
  <c r="K14" i="2"/>
  <c r="K12" i="2"/>
  <c r="K10" i="2"/>
  <c r="K18" i="1" a="1"/>
  <c r="K18" i="1" s="1"/>
  <c r="K16" i="1" a="1"/>
  <c r="K16" i="1" s="1"/>
  <c r="K14" i="1" a="1"/>
  <c r="K14" i="1" s="1"/>
  <c r="K12" i="1" a="1"/>
  <c r="K12" i="1" s="1"/>
  <c r="K10" i="1" a="1"/>
  <c r="K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<sst xmlns="http://schemas.openxmlformats.org/spreadsheetml/2006/main" count="155" uniqueCount="101">
  <si>
    <t>Emp ID</t>
  </si>
  <si>
    <t>Employee Name</t>
  </si>
  <si>
    <t>Department</t>
  </si>
  <si>
    <t>City</t>
  </si>
  <si>
    <t>Salary</t>
  </si>
  <si>
    <t>Rating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</si>
  <si>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</si>
  <si>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</si>
  <si>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</si>
  <si>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</si>
  <si>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</si>
  <si>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</si>
  <si>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</si>
  <si>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</si>
  <si>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</si>
  <si>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</si>
  <si>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Amit</t>
  </si>
  <si>
    <t>Priya</t>
  </si>
  <si>
    <t>Rahul</t>
  </si>
  <si>
    <t>Sneha</t>
  </si>
  <si>
    <t>karan</t>
  </si>
  <si>
    <t>Neha</t>
  </si>
  <si>
    <t>Vikram</t>
  </si>
  <si>
    <t>Sid</t>
  </si>
  <si>
    <t>Riya</t>
  </si>
  <si>
    <t>Jay</t>
  </si>
  <si>
    <t>IT</t>
  </si>
  <si>
    <t>HR</t>
  </si>
  <si>
    <t>Finance</t>
  </si>
  <si>
    <t>Sales</t>
  </si>
  <si>
    <t xml:space="preserve">Pune </t>
  </si>
  <si>
    <t>Mumbai</t>
  </si>
  <si>
    <t>Delhi</t>
  </si>
  <si>
    <t>Hyderabad</t>
  </si>
  <si>
    <t xml:space="preserve">Employee Data Search Area </t>
  </si>
  <si>
    <t>Employee ID</t>
  </si>
  <si>
    <t>Designation</t>
  </si>
  <si>
    <t>Location</t>
  </si>
  <si>
    <t>EMP001</t>
  </si>
  <si>
    <t>John Smith</t>
  </si>
  <si>
    <t>HR Manager</t>
  </si>
  <si>
    <t>New York</t>
  </si>
  <si>
    <t>EMP002</t>
  </si>
  <si>
    <t>Emma Johnson</t>
  </si>
  <si>
    <t>Accountant</t>
  </si>
  <si>
    <t>Chicago</t>
  </si>
  <si>
    <t>EMP003</t>
  </si>
  <si>
    <t>Michael Brown</t>
  </si>
  <si>
    <t>Software Engineer</t>
  </si>
  <si>
    <t>San Francisco</t>
  </si>
  <si>
    <t>EMP004</t>
  </si>
  <si>
    <t>Olivia Davis</t>
  </si>
  <si>
    <t>Sales Executive</t>
  </si>
  <si>
    <t>Dallas</t>
  </si>
  <si>
    <t>EMP005</t>
  </si>
  <si>
    <t>William Wilson</t>
  </si>
  <si>
    <t>Marketing</t>
  </si>
  <si>
    <t>Marketing Manager</t>
  </si>
  <si>
    <t>Boston</t>
  </si>
  <si>
    <t>EMP006</t>
  </si>
  <si>
    <t>Sophia Martinez</t>
  </si>
  <si>
    <t>System Administrator</t>
  </si>
  <si>
    <t>Seattle</t>
  </si>
  <si>
    <t>EMP007</t>
  </si>
  <si>
    <t>James Anderson</t>
  </si>
  <si>
    <t>Operations</t>
  </si>
  <si>
    <t>Operations Manager</t>
  </si>
  <si>
    <t>Denver</t>
  </si>
  <si>
    <t>EMP008</t>
  </si>
  <si>
    <t>Isabella Thomas</t>
  </si>
  <si>
    <t>Financial Analyst</t>
  </si>
  <si>
    <t>Miami</t>
  </si>
  <si>
    <t>EMP009</t>
  </si>
  <si>
    <t>Benjamin Taylor</t>
  </si>
  <si>
    <t>Recruiter</t>
  </si>
  <si>
    <t>Atlanta</t>
  </si>
  <si>
    <t>EMP010</t>
  </si>
  <si>
    <t>Mia Moore</t>
  </si>
  <si>
    <t>Sales Manager</t>
  </si>
  <si>
    <t>Houston</t>
  </si>
  <si>
    <t>Employee Data Search Area</t>
  </si>
  <si>
    <t>E001</t>
  </si>
  <si>
    <t>E002</t>
  </si>
  <si>
    <t>E003</t>
  </si>
  <si>
    <t>E004</t>
  </si>
  <si>
    <t>E005</t>
  </si>
  <si>
    <t>Name</t>
  </si>
  <si>
    <t>Amit Sharma</t>
  </si>
  <si>
    <t>Priya Singh</t>
  </si>
  <si>
    <t>Rahul Verma</t>
  </si>
  <si>
    <t>Neha Patel</t>
  </si>
  <si>
    <t>Arjun Mehta</t>
  </si>
  <si>
    <t>Bengaluru</t>
  </si>
  <si>
    <t>Pune</t>
  </si>
  <si>
    <t>Joining Date</t>
  </si>
  <si>
    <t>Trim=</t>
  </si>
  <si>
    <t>Concat=</t>
  </si>
  <si>
    <t>Text Join=</t>
  </si>
  <si>
    <t>Substitute=</t>
  </si>
  <si>
    <t>Replace=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</si>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</sst>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5</xdr:row>
      <xdr:rowOff>152400</xdr:rowOff>
    </xdr:from>
    <xdr:to>
      <xdr:col>7</xdr:col>
      <xdr:colOff>457200</xdr:colOff>
      <xdr:row>6</xdr:row>
      <xdr:rowOff>99060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91EC84C-B52F-46B1-83F0-19EF9BE3BB0F}"/>
            </a:ext>
          </a:extLst>
        </xdr:cNvPr>
        <xdr:cNvSpPr/>
      </xdr:nvSpPr>
      <xdr:spPr>
        <a:xfrm>
          <a:off x="6210300" y="1249680"/>
          <a:ext cx="304800" cy="1752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AEEC1-6259-4459-9D7E-B98DC07221D6}" name="Table1" displayName="Table1" ref="A1:F11" totalsRowShown="0">
  <autoFilter ref="A1:F11" xr:uid="{C07AEEC1-6259-4459-9D7E-B98DC07221D6}"/>
  <tableColumns count="6">
    <tableColumn id="1" xr3:uid="{4C8C53A0-E43C-4036-84BB-445355861B77}" name="Emp ID"/>
    <tableColumn id="2" xr3:uid="{03467F29-BFEC-46E6-B160-F3A71F334424}" name="Employee Name"/>
    <tableColumn id="3" xr3:uid="{5302E5FD-FABE-4B0B-8B3D-530F86987241}" name="Department"/>
    <tableColumn id="4" xr3:uid="{9C32680A-EE54-4DC1-B089-3A80A8C59788}" name="City"/>
    <tableColumn id="5" xr3:uid="{5914005F-7478-433A-92F7-2C564BD929B6}" name="Salary"/>
    <tableColumn id="6" xr3:uid="{84CDD3B0-FC14-44B7-B6C9-A1ED8D86F310}" name="Rating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8E25E-4278-4786-821E-940E04DBFFB1}" name="Table2" displayName="Table2" ref="A1:F11" totalsRowShown="0">
  <autoFilter ref="A1:F11" xr:uid="{F8E8E25E-4278-4786-821E-940E04DBFFB1}"/>
  <tableColumns count="6">
    <tableColumn id="1" xr3:uid="{B5BF750C-0991-4F12-9F95-D96D66A91D3C}" name="Employee ID"/>
    <tableColumn id="2" xr3:uid="{6ADFFDB0-DBDC-4E3B-BD60-E6005F90BD56}" name="Employee Name"/>
    <tableColumn id="3" xr3:uid="{A121A30D-ECA0-4C6A-969D-E1457FD658F5}" name="Department"/>
    <tableColumn id="4" xr3:uid="{D47830CD-4A00-43DE-95FB-85771252E398}" name="Designation"/>
    <tableColumn id="5" xr3:uid="{792A3B4B-2495-4777-A1F8-4F3843C201C6}" name="Location"/>
    <tableColumn id="6" xr3:uid="{51CEC284-488A-46C3-A00D-2B0583F0316C}" name="Sal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542B7-C08C-4AF8-AB82-112480CCDCF3}" name="Table3" displayName="Table3" ref="A1:F7" totalsRowShown="0">
  <autoFilter ref="A1:F7" xr:uid="{54E542B7-C08C-4AF8-AB82-112480CCDCF3}"/>
  <tableColumns count="6">
    <tableColumn id="1" xr3:uid="{1ED450CF-142C-46ED-BBC8-76B378F4CBFD}" name="Employee ID"/>
    <tableColumn id="2" xr3:uid="{16710F0C-68C4-4AFA-8E7E-7F1F89E7EA23}" name="E001"/>
    <tableColumn id="3" xr3:uid="{1DC5B6FA-B535-45EB-AE04-5C75FFA66C9D}" name="E002"/>
    <tableColumn id="4" xr3:uid="{0E31BE4A-ECEF-49F7-AE7C-697F02B19DEF}" name="E003"/>
    <tableColumn id="5" xr3:uid="{36486E6E-7CE1-4720-B828-68874AB16A1F}" name="E004"/>
    <tableColumn id="6" xr3:uid="{A20D4DAD-309E-4731-ABD4-08F83DD48108}" name="E0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387F-DB27-4ED0-A168-F78EB6E92202}">
  <dimension ref="A1:P19"/>
  <sheetViews>
    <sheetView workbookViewId="0">
      <selection activeCell="H4" sqref="H4:N4"/>
    </sheetView>
  </sheetViews>
  <sheetFormatPr defaultRowHeight="14.4" x14ac:dyDescent="0.3"/>
  <cols>
    <col min="1" max="1" width="10.44140625" customWidth="1"/>
    <col min="2" max="2" width="20.33203125" customWidth="1"/>
    <col min="3" max="3" width="15.109375" customWidth="1"/>
    <col min="4" max="4" width="12" customWidth="1"/>
    <col min="5" max="6" width="10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" ht="18" x14ac:dyDescent="0.35">
      <c r="A2" t="s">
        <v>6</v>
      </c>
      <c r="B2" t="s">
        <v>16</v>
      </c>
      <c r="C2" t="s">
        <v>26</v>
      </c>
      <c r="D2" t="s">
        <v>30</v>
      </c>
      <c r="E2">
        <v>30000</v>
      </c>
      <c r="F2">
        <v>4.5</v>
      </c>
      <c r="H2" s="8" t="s">
        <v>34</v>
      </c>
      <c r="I2" s="9"/>
      <c r="J2" s="9"/>
      <c r="K2" s="9"/>
      <c r="L2" s="9"/>
      <c r="M2" s="9"/>
      <c r="N2" s="10"/>
      <c r="O2" s="1"/>
      <c r="P2" s="1"/>
    </row>
    <row r="3" spans="1:16" ht="18" x14ac:dyDescent="0.35">
      <c r="A3" t="s">
        <v>7</v>
      </c>
      <c r="B3" t="s">
        <v>17</v>
      </c>
      <c r="C3" t="s">
        <v>27</v>
      </c>
      <c r="D3" t="s">
        <v>31</v>
      </c>
      <c r="E3">
        <v>45000</v>
      </c>
      <c r="F3">
        <v>4.8</v>
      </c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5">
      <c r="A4" t="s">
        <v>8</v>
      </c>
      <c r="B4" t="s">
        <v>18</v>
      </c>
      <c r="C4" t="s">
        <v>28</v>
      </c>
      <c r="D4" t="s">
        <v>32</v>
      </c>
      <c r="E4">
        <v>28000</v>
      </c>
      <c r="F4">
        <v>4</v>
      </c>
      <c r="H4" s="8" t="s">
        <v>100</v>
      </c>
      <c r="I4" s="9"/>
      <c r="J4" s="9"/>
      <c r="K4" s="9"/>
      <c r="L4" s="9"/>
      <c r="M4" s="9"/>
      <c r="N4" s="10"/>
      <c r="O4" s="1"/>
      <c r="P4" s="1"/>
    </row>
    <row r="5" spans="1:16" ht="18" x14ac:dyDescent="0.35">
      <c r="A5" t="s">
        <v>9</v>
      </c>
      <c r="B5" t="s">
        <v>19</v>
      </c>
      <c r="C5" t="s">
        <v>26</v>
      </c>
      <c r="D5" t="s">
        <v>30</v>
      </c>
      <c r="E5">
        <v>50000</v>
      </c>
      <c r="F5">
        <v>4.9000000000000004</v>
      </c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t="s">
        <v>10</v>
      </c>
      <c r="B6" t="s">
        <v>20</v>
      </c>
      <c r="C6" t="s">
        <v>29</v>
      </c>
      <c r="D6" t="s">
        <v>33</v>
      </c>
      <c r="E6">
        <v>35000</v>
      </c>
      <c r="F6">
        <v>4.2</v>
      </c>
      <c r="H6" s="13"/>
      <c r="I6" s="15" t="s">
        <v>9</v>
      </c>
      <c r="J6" s="16"/>
      <c r="K6" s="16"/>
      <c r="L6" s="16"/>
      <c r="M6" s="16"/>
      <c r="N6" s="17"/>
      <c r="O6" s="1"/>
      <c r="P6" s="1"/>
    </row>
    <row r="7" spans="1:16" ht="18" x14ac:dyDescent="0.35">
      <c r="A7" t="s">
        <v>11</v>
      </c>
      <c r="B7" t="s">
        <v>21</v>
      </c>
      <c r="C7" t="s">
        <v>27</v>
      </c>
      <c r="D7" t="s">
        <v>30</v>
      </c>
      <c r="E7">
        <v>38000</v>
      </c>
      <c r="F7">
        <v>4.5999999999999996</v>
      </c>
      <c r="H7" s="14"/>
      <c r="I7" s="18"/>
      <c r="J7" s="19"/>
      <c r="K7" s="19"/>
      <c r="L7" s="19"/>
      <c r="M7" s="19"/>
      <c r="N7" s="20"/>
      <c r="O7" s="1"/>
      <c r="P7" s="1"/>
    </row>
    <row r="8" spans="1:16" ht="18" x14ac:dyDescent="0.35">
      <c r="A8" t="s">
        <v>12</v>
      </c>
      <c r="B8" t="s">
        <v>22</v>
      </c>
      <c r="C8" t="s">
        <v>28</v>
      </c>
      <c r="D8" t="s">
        <v>31</v>
      </c>
      <c r="E8">
        <v>42000</v>
      </c>
      <c r="F8">
        <v>4.7</v>
      </c>
      <c r="H8" s="13"/>
      <c r="I8" s="13"/>
      <c r="J8" s="13"/>
      <c r="K8" s="13"/>
      <c r="L8" s="13"/>
      <c r="M8" s="13"/>
      <c r="N8" s="13"/>
      <c r="O8" s="1"/>
      <c r="P8" s="1"/>
    </row>
    <row r="9" spans="1:16" ht="18" x14ac:dyDescent="0.35">
      <c r="A9" t="s">
        <v>13</v>
      </c>
      <c r="B9" t="s">
        <v>23</v>
      </c>
      <c r="C9" t="s">
        <v>29</v>
      </c>
      <c r="D9" t="s">
        <v>32</v>
      </c>
      <c r="E9">
        <v>46000</v>
      </c>
      <c r="F9">
        <v>4.4000000000000004</v>
      </c>
      <c r="H9" s="14"/>
      <c r="I9" s="14"/>
      <c r="J9" s="14"/>
      <c r="K9" s="14"/>
      <c r="L9" s="14"/>
      <c r="M9" s="14"/>
      <c r="N9" s="14"/>
      <c r="O9" s="1"/>
      <c r="P9" s="1"/>
    </row>
    <row r="10" spans="1:16" ht="18" x14ac:dyDescent="0.35">
      <c r="A10" t="s">
        <v>14</v>
      </c>
      <c r="B10" t="s">
        <v>24</v>
      </c>
      <c r="C10" t="s">
        <v>27</v>
      </c>
      <c r="D10" t="s">
        <v>33</v>
      </c>
      <c r="E10">
        <v>40000</v>
      </c>
      <c r="F10">
        <v>3.9</v>
      </c>
      <c r="H10" s="8" t="s">
        <v>1</v>
      </c>
      <c r="I10" s="9"/>
      <c r="J10" s="10"/>
      <c r="K10" s="5" t="str" cm="1">
        <f t="array" ref="K10">_xlfn.XLOOKUP(I6,Table1[Emp ID],Table1[Employee Name],Data Not Found,0)</f>
        <v>Sneha</v>
      </c>
      <c r="L10" s="6"/>
      <c r="M10" s="6"/>
      <c r="N10" s="6"/>
      <c r="O10" s="6"/>
      <c r="P10" s="7"/>
    </row>
    <row r="11" spans="1:16" ht="18" x14ac:dyDescent="0.35">
      <c r="A11" t="s">
        <v>15</v>
      </c>
      <c r="B11" t="s">
        <v>25</v>
      </c>
      <c r="C11" t="s">
        <v>26</v>
      </c>
      <c r="D11" t="s">
        <v>31</v>
      </c>
      <c r="E11">
        <v>33000</v>
      </c>
      <c r="F11">
        <v>3.8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ht="18" x14ac:dyDescent="0.35">
      <c r="H12" s="8" t="s">
        <v>2</v>
      </c>
      <c r="I12" s="11"/>
      <c r="J12" s="12"/>
      <c r="K12" s="5" t="str" cm="1">
        <f t="array" ref="K12">_xlfn.XLOOKUP(I6,Table1[Emp ID],Table1[Department],Data Not Found,0)</f>
        <v>IT</v>
      </c>
      <c r="L12" s="6"/>
      <c r="M12" s="6"/>
      <c r="N12" s="6"/>
      <c r="O12" s="6"/>
      <c r="P12" s="7"/>
    </row>
    <row r="13" spans="1:16" ht="18" x14ac:dyDescent="0.35">
      <c r="H13" s="1"/>
      <c r="I13" s="1"/>
      <c r="J13" s="1"/>
      <c r="K13" s="1"/>
      <c r="L13" s="1"/>
      <c r="M13" s="1"/>
      <c r="N13" s="1"/>
      <c r="O13" s="1"/>
      <c r="P13" s="1"/>
    </row>
    <row r="14" spans="1:16" ht="18" x14ac:dyDescent="0.35">
      <c r="H14" s="8" t="s">
        <v>3</v>
      </c>
      <c r="I14" s="11"/>
      <c r="J14" s="12"/>
      <c r="K14" s="5" t="str" cm="1">
        <f t="array" ref="K14">_xlfn.XLOOKUP(I6,Table1[Emp ID],Table1[City],Data Not Found,0)</f>
        <v xml:space="preserve">Pune </v>
      </c>
      <c r="L14" s="6"/>
      <c r="M14" s="6"/>
      <c r="N14" s="6"/>
      <c r="O14" s="6"/>
      <c r="P14" s="7"/>
    </row>
    <row r="15" spans="1:16" ht="18" x14ac:dyDescent="0.35">
      <c r="H15" s="1"/>
      <c r="I15" s="1"/>
      <c r="J15" s="1"/>
      <c r="K15" s="1"/>
      <c r="L15" s="1"/>
      <c r="M15" s="1"/>
      <c r="N15" s="1"/>
      <c r="O15" s="1"/>
      <c r="P15" s="1"/>
    </row>
    <row r="16" spans="1:16" ht="18" x14ac:dyDescent="0.35">
      <c r="H16" s="8" t="s">
        <v>4</v>
      </c>
      <c r="I16" s="11"/>
      <c r="J16" s="12"/>
      <c r="K16" s="5" cm="1">
        <f t="array" ref="K16">_xlfn.XLOOKUP(I6,Table1[Emp ID],Table1[Salary],Data Not Found,0)</f>
        <v>50000</v>
      </c>
      <c r="L16" s="6"/>
      <c r="M16" s="6"/>
      <c r="N16" s="6"/>
      <c r="O16" s="6"/>
      <c r="P16" s="7"/>
    </row>
    <row r="17" spans="8:16" ht="18" x14ac:dyDescent="0.35">
      <c r="H17" s="1"/>
      <c r="I17" s="1"/>
      <c r="J17" s="1"/>
      <c r="K17" s="1"/>
      <c r="L17" s="1"/>
      <c r="M17" s="1"/>
      <c r="N17" s="1"/>
      <c r="O17" s="1"/>
      <c r="P17" s="1"/>
    </row>
    <row r="18" spans="8:16" ht="18" x14ac:dyDescent="0.35">
      <c r="H18" s="8" t="s">
        <v>5</v>
      </c>
      <c r="I18" s="11"/>
      <c r="J18" s="12"/>
      <c r="K18" s="5" cm="1">
        <f t="array" ref="K18">_xlfn.XLOOKUP(I6,Table1[Emp ID],Table1[Rating],Data Not Found,0)</f>
        <v>4.9000000000000004</v>
      </c>
      <c r="L18" s="6"/>
      <c r="M18" s="6"/>
      <c r="N18" s="6"/>
      <c r="O18" s="6"/>
      <c r="P18" s="7"/>
    </row>
    <row r="19" spans="8:16" ht="18" x14ac:dyDescent="0.35">
      <c r="H19" s="1"/>
      <c r="I19" s="1"/>
      <c r="J19" s="1"/>
      <c r="K19" s="1"/>
      <c r="L19" s="1"/>
      <c r="M19" s="1"/>
      <c r="N19" s="1"/>
      <c r="O19" s="1"/>
      <c r="P19" s="1"/>
    </row>
  </sheetData>
  <dataConsolidate/>
  <mergeCells count="21">
    <mergeCell ref="M8:M9"/>
    <mergeCell ref="N8:N9"/>
    <mergeCell ref="H2:N2"/>
    <mergeCell ref="H4:N4"/>
    <mergeCell ref="I6:N7"/>
    <mergeCell ref="H6:H7"/>
    <mergeCell ref="H8:H9"/>
    <mergeCell ref="I8:I9"/>
    <mergeCell ref="J8:J9"/>
    <mergeCell ref="K8:K9"/>
    <mergeCell ref="L8:L9"/>
    <mergeCell ref="K18:P18"/>
    <mergeCell ref="H10:J10"/>
    <mergeCell ref="H12:J12"/>
    <mergeCell ref="H14:J14"/>
    <mergeCell ref="H16:J16"/>
    <mergeCell ref="H18:J18"/>
    <mergeCell ref="K10:P10"/>
    <mergeCell ref="K12:P12"/>
    <mergeCell ref="K14:P14"/>
    <mergeCell ref="K16:P16"/>
  </mergeCells>
  <phoneticPr fontId="1" type="noConversion"/>
  <dataValidations count="2">
    <dataValidation type="list" allowBlank="1" showInputMessage="1" showErrorMessage="1" sqref="I6:N7" xr:uid="{6D202C45-83DD-4779-884C-0A49F1B5678C}">
      <formula1>$A$2:$A$11</formula1>
    </dataValidation>
    <dataValidation type="list" allowBlank="1" showInputMessage="1" showErrorMessage="1" sqref="H4:N4" xr:uid="{8DE7E777-CDC5-48F7-B1CE-E4DC2B579F8E}">
      <formula1>"Employee Id,Employee Name"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3712-B4C6-4656-8924-E991B9AD715C}">
  <dimension ref="A1:N19"/>
  <sheetViews>
    <sheetView tabSelected="1" workbookViewId="0">
      <selection activeCell="I7" sqref="I7:L8"/>
    </sheetView>
  </sheetViews>
  <sheetFormatPr defaultRowHeight="14.4" x14ac:dyDescent="0.3"/>
  <cols>
    <col min="1" max="6" width="18.109375" customWidth="1"/>
  </cols>
  <sheetData>
    <row r="1" spans="1:14" x14ac:dyDescent="0.3">
      <c r="A1" t="s">
        <v>35</v>
      </c>
      <c r="B1" t="s">
        <v>1</v>
      </c>
      <c r="C1" t="s">
        <v>2</v>
      </c>
      <c r="D1" t="s">
        <v>36</v>
      </c>
      <c r="E1" t="s">
        <v>37</v>
      </c>
      <c r="F1" t="s">
        <v>4</v>
      </c>
    </row>
    <row r="2" spans="1:14" ht="18" x14ac:dyDescent="0.35">
      <c r="A2" t="s">
        <v>38</v>
      </c>
      <c r="B2" t="s">
        <v>39</v>
      </c>
      <c r="C2" t="s">
        <v>27</v>
      </c>
      <c r="D2" t="s">
        <v>40</v>
      </c>
      <c r="E2" t="s">
        <v>41</v>
      </c>
      <c r="F2">
        <v>65000</v>
      </c>
      <c r="H2" s="8" t="s">
        <v>80</v>
      </c>
      <c r="I2" s="9"/>
      <c r="J2" s="9"/>
      <c r="K2" s="9"/>
      <c r="L2" s="10"/>
      <c r="M2" s="1"/>
      <c r="N2" s="1"/>
    </row>
    <row r="3" spans="1:14" ht="18" x14ac:dyDescent="0.35">
      <c r="A3" t="s">
        <v>42</v>
      </c>
      <c r="B3" t="s">
        <v>43</v>
      </c>
      <c r="C3" t="s">
        <v>28</v>
      </c>
      <c r="D3" t="s">
        <v>44</v>
      </c>
      <c r="E3" t="s">
        <v>45</v>
      </c>
      <c r="F3">
        <v>58000</v>
      </c>
      <c r="H3" s="13"/>
      <c r="I3" s="13"/>
      <c r="J3" s="13"/>
      <c r="K3" s="13"/>
      <c r="L3" s="13"/>
      <c r="M3" s="1"/>
      <c r="N3" s="1"/>
    </row>
    <row r="4" spans="1:14" ht="18" x14ac:dyDescent="0.35">
      <c r="A4" t="s">
        <v>46</v>
      </c>
      <c r="B4" t="s">
        <v>47</v>
      </c>
      <c r="C4" t="s">
        <v>26</v>
      </c>
      <c r="D4" t="s">
        <v>48</v>
      </c>
      <c r="E4" t="s">
        <v>49</v>
      </c>
      <c r="F4">
        <v>85000</v>
      </c>
      <c r="H4" s="14"/>
      <c r="I4" s="14"/>
      <c r="J4" s="14"/>
      <c r="K4" s="14"/>
      <c r="L4" s="14"/>
      <c r="M4" s="1"/>
      <c r="N4" s="1"/>
    </row>
    <row r="5" spans="1:14" ht="18" x14ac:dyDescent="0.35">
      <c r="A5" t="s">
        <v>50</v>
      </c>
      <c r="B5" t="s">
        <v>51</v>
      </c>
      <c r="C5" t="s">
        <v>29</v>
      </c>
      <c r="D5" t="s">
        <v>52</v>
      </c>
      <c r="E5" t="s">
        <v>53</v>
      </c>
      <c r="F5">
        <v>55000</v>
      </c>
      <c r="H5" s="8" t="s">
        <v>35</v>
      </c>
      <c r="I5" s="9"/>
      <c r="J5" s="9"/>
      <c r="K5" s="9"/>
      <c r="L5" s="10"/>
      <c r="M5" s="1"/>
      <c r="N5" s="1"/>
    </row>
    <row r="6" spans="1:14" ht="18" x14ac:dyDescent="0.35">
      <c r="A6" t="s">
        <v>54</v>
      </c>
      <c r="B6" t="s">
        <v>55</v>
      </c>
      <c r="C6" t="s">
        <v>56</v>
      </c>
      <c r="D6" t="s">
        <v>57</v>
      </c>
      <c r="E6" t="s">
        <v>58</v>
      </c>
      <c r="F6">
        <v>72000</v>
      </c>
      <c r="H6" s="1"/>
      <c r="I6" s="1"/>
      <c r="J6" s="1"/>
      <c r="K6" s="1"/>
      <c r="L6" s="1"/>
      <c r="M6" s="1"/>
      <c r="N6" s="1"/>
    </row>
    <row r="7" spans="1:14" ht="18" x14ac:dyDescent="0.35">
      <c r="A7" t="s">
        <v>59</v>
      </c>
      <c r="B7" t="s">
        <v>60</v>
      </c>
      <c r="C7" t="s">
        <v>26</v>
      </c>
      <c r="D7" t="s">
        <v>61</v>
      </c>
      <c r="E7" t="s">
        <v>62</v>
      </c>
      <c r="F7">
        <v>70000</v>
      </c>
      <c r="H7" s="13"/>
      <c r="I7" s="21" t="s">
        <v>54</v>
      </c>
      <c r="J7" s="22"/>
      <c r="K7" s="22"/>
      <c r="L7" s="23"/>
      <c r="M7" s="1"/>
      <c r="N7" s="1"/>
    </row>
    <row r="8" spans="1:14" ht="18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>
        <v>78000</v>
      </c>
      <c r="H8" s="14"/>
      <c r="I8" s="24"/>
      <c r="J8" s="25"/>
      <c r="K8" s="25"/>
      <c r="L8" s="26"/>
      <c r="M8" s="1"/>
      <c r="N8" s="1"/>
    </row>
    <row r="9" spans="1:14" ht="18" x14ac:dyDescent="0.35">
      <c r="A9" t="s">
        <v>68</v>
      </c>
      <c r="B9" t="s">
        <v>69</v>
      </c>
      <c r="C9" t="s">
        <v>28</v>
      </c>
      <c r="D9" t="s">
        <v>70</v>
      </c>
      <c r="E9" t="s">
        <v>71</v>
      </c>
      <c r="F9">
        <v>62000</v>
      </c>
      <c r="H9" s="1"/>
      <c r="I9" s="1"/>
      <c r="J9" s="1"/>
      <c r="K9" s="1"/>
      <c r="L9" s="1"/>
      <c r="M9" s="1"/>
      <c r="N9" s="1"/>
    </row>
    <row r="10" spans="1:14" ht="18" x14ac:dyDescent="0.35">
      <c r="A10" t="s">
        <v>72</v>
      </c>
      <c r="B10" t="s">
        <v>73</v>
      </c>
      <c r="C10" t="s">
        <v>27</v>
      </c>
      <c r="D10" t="s">
        <v>74</v>
      </c>
      <c r="E10" t="s">
        <v>75</v>
      </c>
      <c r="F10">
        <v>52000</v>
      </c>
      <c r="H10" s="8" t="s">
        <v>1</v>
      </c>
      <c r="I10" s="9"/>
      <c r="J10" s="10"/>
      <c r="K10" s="21" t="str">
        <f>VLOOKUP(I7,Table2[],2,FALSE)</f>
        <v>William Wilson</v>
      </c>
      <c r="L10" s="22"/>
      <c r="M10" s="22"/>
      <c r="N10" s="23"/>
    </row>
    <row r="11" spans="1:14" ht="18" x14ac:dyDescent="0.35">
      <c r="A11" t="s">
        <v>76</v>
      </c>
      <c r="B11" t="s">
        <v>77</v>
      </c>
      <c r="C11" t="s">
        <v>29</v>
      </c>
      <c r="D11" t="s">
        <v>78</v>
      </c>
      <c r="E11" t="s">
        <v>79</v>
      </c>
      <c r="F11">
        <v>76000</v>
      </c>
      <c r="H11" s="1"/>
      <c r="I11" s="1"/>
      <c r="J11" s="1"/>
      <c r="K11" s="1"/>
      <c r="L11" s="1"/>
      <c r="M11" s="1"/>
      <c r="N11" s="1"/>
    </row>
    <row r="12" spans="1:14" ht="18" x14ac:dyDescent="0.35">
      <c r="H12" s="8" t="s">
        <v>2</v>
      </c>
      <c r="I12" s="9"/>
      <c r="J12" s="10"/>
      <c r="K12" s="21" t="str">
        <f>VLOOKUP(I7,Table2[],3,FALSE)</f>
        <v>Marketing</v>
      </c>
      <c r="L12" s="22"/>
      <c r="M12" s="22"/>
      <c r="N12" s="23"/>
    </row>
    <row r="13" spans="1:14" ht="18" x14ac:dyDescent="0.35">
      <c r="H13" s="1"/>
      <c r="I13" s="1"/>
      <c r="J13" s="1"/>
      <c r="K13" s="1"/>
      <c r="L13" s="1"/>
      <c r="M13" s="1"/>
      <c r="N13" s="1"/>
    </row>
    <row r="14" spans="1:14" ht="18" x14ac:dyDescent="0.35">
      <c r="H14" s="8" t="s">
        <v>36</v>
      </c>
      <c r="I14" s="9"/>
      <c r="J14" s="10"/>
      <c r="K14" s="21" t="str">
        <f>VLOOKUP(I7,Table2[],4,FALSE)</f>
        <v>Marketing Manager</v>
      </c>
      <c r="L14" s="22"/>
      <c r="M14" s="22"/>
      <c r="N14" s="23"/>
    </row>
    <row r="15" spans="1:14" ht="18" x14ac:dyDescent="0.35">
      <c r="H15" s="1"/>
      <c r="I15" s="1"/>
      <c r="J15" s="1"/>
      <c r="K15" s="1"/>
      <c r="L15" s="1"/>
      <c r="M15" s="1"/>
      <c r="N15" s="1"/>
    </row>
    <row r="16" spans="1:14" ht="18" x14ac:dyDescent="0.35">
      <c r="H16" s="8" t="s">
        <v>37</v>
      </c>
      <c r="I16" s="9"/>
      <c r="J16" s="10"/>
      <c r="K16" s="21" t="str">
        <f>VLOOKUP(I7,Table2[],5,FALSE)</f>
        <v>Boston</v>
      </c>
      <c r="L16" s="22"/>
      <c r="M16" s="22"/>
      <c r="N16" s="23"/>
    </row>
    <row r="17" spans="8:14" ht="18" x14ac:dyDescent="0.35">
      <c r="H17" s="1"/>
      <c r="I17" s="1"/>
      <c r="J17" s="1"/>
      <c r="K17" s="1"/>
      <c r="L17" s="1"/>
      <c r="M17" s="1"/>
      <c r="N17" s="1"/>
    </row>
    <row r="18" spans="8:14" ht="18" x14ac:dyDescent="0.35">
      <c r="H18" s="8" t="s">
        <v>4</v>
      </c>
      <c r="I18" s="9"/>
      <c r="J18" s="10"/>
      <c r="K18" s="21">
        <f>VLOOKUP(I7,Table2[],6,FALSE)</f>
        <v>72000</v>
      </c>
      <c r="L18" s="22"/>
      <c r="M18" s="22"/>
      <c r="N18" s="23"/>
    </row>
    <row r="19" spans="8:14" ht="18" x14ac:dyDescent="0.35">
      <c r="H19" s="1"/>
      <c r="I19" s="1"/>
      <c r="J19" s="1"/>
      <c r="K19" s="1"/>
      <c r="L19" s="1"/>
      <c r="M19" s="1"/>
      <c r="N19" s="1"/>
    </row>
  </sheetData>
  <mergeCells count="19">
    <mergeCell ref="H2:L2"/>
    <mergeCell ref="H3:H4"/>
    <mergeCell ref="I3:I4"/>
    <mergeCell ref="J3:J4"/>
    <mergeCell ref="K3:K4"/>
    <mergeCell ref="L3:L4"/>
    <mergeCell ref="H5:L5"/>
    <mergeCell ref="I7:L8"/>
    <mergeCell ref="H7:H8"/>
    <mergeCell ref="H10:J10"/>
    <mergeCell ref="H12:J12"/>
    <mergeCell ref="H16:J16"/>
    <mergeCell ref="H18:J18"/>
    <mergeCell ref="K10:N10"/>
    <mergeCell ref="K12:N12"/>
    <mergeCell ref="K14:N14"/>
    <mergeCell ref="K16:N16"/>
    <mergeCell ref="K18:N18"/>
    <mergeCell ref="H14:J14"/>
  </mergeCells>
  <dataValidations count="1">
    <dataValidation type="list" allowBlank="1" showInputMessage="1" showErrorMessage="1" sqref="I7:L8" xr:uid="{8CB03CE0-6DCF-4F5D-9D73-4DE4D9B69039}">
      <formula1>$A$2:$A$11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EA8F-2D02-49E6-8DE6-77F85A14E2ED}">
  <dimension ref="A1:F30"/>
  <sheetViews>
    <sheetView topLeftCell="B1" workbookViewId="0">
      <selection activeCell="D30" sqref="D30"/>
    </sheetView>
  </sheetViews>
  <sheetFormatPr defaultRowHeight="14.4" x14ac:dyDescent="0.3"/>
  <cols>
    <col min="1" max="6" width="19.44140625" customWidth="1"/>
  </cols>
  <sheetData>
    <row r="1" spans="1:6" x14ac:dyDescent="0.3">
      <c r="A1" t="s">
        <v>35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3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</row>
    <row r="3" spans="1:6" x14ac:dyDescent="0.3">
      <c r="A3" t="s">
        <v>2</v>
      </c>
      <c r="B3" t="s">
        <v>27</v>
      </c>
      <c r="C3" t="s">
        <v>28</v>
      </c>
      <c r="D3" t="s">
        <v>26</v>
      </c>
      <c r="E3" t="s">
        <v>29</v>
      </c>
      <c r="F3" t="s">
        <v>56</v>
      </c>
    </row>
    <row r="4" spans="1:6" x14ac:dyDescent="0.3">
      <c r="A4" t="s">
        <v>36</v>
      </c>
      <c r="B4" t="s">
        <v>40</v>
      </c>
      <c r="C4" t="s">
        <v>44</v>
      </c>
      <c r="D4" t="s">
        <v>48</v>
      </c>
      <c r="E4" t="s">
        <v>52</v>
      </c>
      <c r="F4" t="s">
        <v>57</v>
      </c>
    </row>
    <row r="5" spans="1:6" x14ac:dyDescent="0.3">
      <c r="A5" t="s">
        <v>4</v>
      </c>
      <c r="B5" s="2">
        <v>65000</v>
      </c>
      <c r="C5" s="3">
        <v>72000</v>
      </c>
      <c r="D5" s="3">
        <v>85000</v>
      </c>
      <c r="E5" s="3">
        <v>58000</v>
      </c>
      <c r="F5" s="3">
        <v>70000</v>
      </c>
    </row>
    <row r="6" spans="1:6" x14ac:dyDescent="0.3">
      <c r="A6" t="s">
        <v>37</v>
      </c>
      <c r="B6" t="s">
        <v>31</v>
      </c>
      <c r="C6" t="s">
        <v>32</v>
      </c>
      <c r="D6" t="s">
        <v>92</v>
      </c>
      <c r="E6" t="s">
        <v>93</v>
      </c>
      <c r="F6" t="s">
        <v>33</v>
      </c>
    </row>
    <row r="7" spans="1:6" x14ac:dyDescent="0.3">
      <c r="A7" t="s">
        <v>94</v>
      </c>
      <c r="B7" s="4">
        <v>44211</v>
      </c>
      <c r="C7" s="4">
        <v>43900</v>
      </c>
      <c r="D7" s="4">
        <v>44764</v>
      </c>
      <c r="E7" s="4">
        <v>43713</v>
      </c>
      <c r="F7" s="4">
        <v>45248</v>
      </c>
    </row>
    <row r="21" spans="3:4" x14ac:dyDescent="0.3">
      <c r="C21" t="s">
        <v>95</v>
      </c>
      <c r="D21" t="str">
        <f>TRIM(C6)</f>
        <v>Delhi</v>
      </c>
    </row>
    <row r="23" spans="3:4" x14ac:dyDescent="0.3">
      <c r="C23" t="s">
        <v>96</v>
      </c>
      <c r="D23" t="str">
        <f>_xlfn.CONCAT(B2," ",C2)</f>
        <v>Amit Sharma Priya Singh</v>
      </c>
    </row>
    <row r="25" spans="3:4" x14ac:dyDescent="0.3">
      <c r="C25" t="s">
        <v>97</v>
      </c>
      <c r="D25" t="str">
        <f>_xlfn.TEXTJOIN(",",TRUE,D2,E2,F2)</f>
        <v>Rahul Verma,Neha Patel,Arjun Mehta</v>
      </c>
    </row>
    <row r="28" spans="3:4" x14ac:dyDescent="0.3">
      <c r="C28" t="s">
        <v>98</v>
      </c>
      <c r="D28" t="str">
        <f>SUBSTITUTE("window excel","excel","word")</f>
        <v>window word</v>
      </c>
    </row>
    <row r="30" spans="3:4" x14ac:dyDescent="0.3">
      <c r="C30" t="s">
        <v>99</v>
      </c>
      <c r="D30" t="str">
        <f>REPLACE("window11",7,2,12)</f>
        <v>window12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XLookup</vt:lpstr>
      <vt:lpstr>VLookup</vt:lpstr>
      <vt:lpstr>HLookup</vt:lpstr>
      <vt:lpstr>Employee_ID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achal dhawas</cp:lastModifiedBy>
  <dcterms:created xsi:type="dcterms:W3CDTF">2026-07-20T21:19:11Z</dcterms:created>
  <dcterms:modified xsi:type="dcterms:W3CDTF">2026-07-30T21:29:39Z</dcterms:modified>
</cp:coreProperties>
</file>