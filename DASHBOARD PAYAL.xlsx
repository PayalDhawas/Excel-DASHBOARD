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achin\Desktop\"/>
    </mc:Choice>
  </mc:AlternateContent>
  <xr:revisionPtr revIDLastSave="0" documentId="13_ncr:1_{0952E38E-94FC-433D-AD90-19F5D4976241}" xr6:coauthVersionLast="47" xr6:coauthVersionMax="47" xr10:uidLastSave="{00000000-0000-0000-0000-000000000000}"/>
  <bookViews>
    <workbookView xWindow="-108" yWindow="-108" windowWidth="23256" windowHeight="12456" activeTab="2" xr2:uid="{FB0866FC-ACDF-4287-9335-B0651C45A116}"/>
  </bookViews>
  <sheets>
    <sheet name="sale" sheetId="1" r:id="rId1"/>
    <sheet name="pivot table" sheetId="2" r:id="rId2"/>
    <sheet name="Dashboard" sheetId="3" r:id="rId3"/>
  </sheets>
  <definedNames>
    <definedName name="_xlchart.v5.0" hidden="1">'pivot table'!$O$11</definedName>
    <definedName name="_xlchart.v5.1" hidden="1">'pivot table'!$O$12:$O$29</definedName>
    <definedName name="_xlchart.v5.2" hidden="1">'pivot table'!$P$11</definedName>
    <definedName name="_xlchart.v5.3" hidden="1">'pivot table'!$P$12:$P$29</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<sst xmlns="http://schemas.openxmlformats.org/spreadsheetml/2006/main" count="465" uniqueCount="176">
  <si>
    <t>Order ID</t>
  </si>
  <si>
    <t>Date</t>
  </si>
  <si>
    <t>Region</t>
  </si>
  <si>
    <t>State</t>
  </si>
  <si>
    <t>City</t>
  </si>
  <si>
    <t>Customer Name</t>
  </si>
  <si>
    <t>Segment</t>
  </si>
  <si>
    <t>Category</t>
  </si>
  <si>
    <t>Product</t>
  </si>
  <si>
    <t>Sales Rep</t>
  </si>
  <si>
    <t>Units</t>
  </si>
  <si>
    <t>Sales</t>
  </si>
  <si>
    <t>Cost</t>
  </si>
  <si>
    <t>Profit</t>
  </si>
  <si>
    <t>Payment Mode</t>
  </si>
  <si>
    <t>Ship Mode</t>
  </si>
  <si>
    <t>ORD001</t>
  </si>
  <si>
    <t>North</t>
  </si>
  <si>
    <t>Delhi</t>
  </si>
  <si>
    <t>Amit Sharma</t>
  </si>
  <si>
    <t>Consumer</t>
  </si>
  <si>
    <t>Electronics</t>
  </si>
  <si>
    <t>Laptop</t>
  </si>
  <si>
    <t>Rahul</t>
  </si>
  <si>
    <t>UPI</t>
  </si>
  <si>
    <t>Express</t>
  </si>
  <si>
    <t>ORD002</t>
  </si>
  <si>
    <t>West</t>
  </si>
  <si>
    <t>Maharashtra</t>
  </si>
  <si>
    <t>Mumbai</t>
  </si>
  <si>
    <t>Priya Patel</t>
  </si>
  <si>
    <t>Corporate</t>
  </si>
  <si>
    <t>Furniture</t>
  </si>
  <si>
    <t>Office Chair</t>
  </si>
  <si>
    <t>Sneha</t>
  </si>
  <si>
    <t>Credit Card</t>
  </si>
  <si>
    <t>Standard</t>
  </si>
  <si>
    <t>ORD003</t>
  </si>
  <si>
    <t>South</t>
  </si>
  <si>
    <t>Karnataka</t>
  </si>
  <si>
    <t>Bengaluru</t>
  </si>
  <si>
    <t>Rohan Singh</t>
  </si>
  <si>
    <t>Mobile</t>
  </si>
  <si>
    <t>Ajay</t>
  </si>
  <si>
    <t>Cash</t>
  </si>
  <si>
    <t>ORD004</t>
  </si>
  <si>
    <t>East</t>
  </si>
  <si>
    <t>West Bengal</t>
  </si>
  <si>
    <t>Kolkata</t>
  </si>
  <si>
    <t>Neha Verma</t>
  </si>
  <si>
    <t>Home Office</t>
  </si>
  <si>
    <t>Office Supplies</t>
  </si>
  <si>
    <t>Paper Pack</t>
  </si>
  <si>
    <t>Pooja</t>
  </si>
  <si>
    <t>ORD005</t>
  </si>
  <si>
    <t>Punjab</t>
  </si>
  <si>
    <t>Ludhiana</t>
  </si>
  <si>
    <t>Karan Gupta</t>
  </si>
  <si>
    <t>Technology</t>
  </si>
  <si>
    <t>Printer</t>
  </si>
  <si>
    <t>Debit Card</t>
  </si>
  <si>
    <t>ORD006</t>
  </si>
  <si>
    <t>Gujarat</t>
  </si>
  <si>
    <t>Ahmedabad</t>
  </si>
  <si>
    <t>Simran Kaur</t>
  </si>
  <si>
    <t>Table</t>
  </si>
  <si>
    <t>ORD007</t>
  </si>
  <si>
    <t>Telangana</t>
  </si>
  <si>
    <t>Hyderabad</t>
  </si>
  <si>
    <t>Arjun Rao</t>
  </si>
  <si>
    <t>Monitor</t>
  </si>
  <si>
    <t>ORD008</t>
  </si>
  <si>
    <t>Odisha</t>
  </si>
  <si>
    <t>Bhubaneswar</t>
  </si>
  <si>
    <t>Pooja Das</t>
  </si>
  <si>
    <t>Pen Pack</t>
  </si>
  <si>
    <t>Economy</t>
  </si>
  <si>
    <t>ORD009</t>
  </si>
  <si>
    <t>Uttar Pradesh</t>
  </si>
  <si>
    <t>Lucknow</t>
  </si>
  <si>
    <t>Vivek Mishra</t>
  </si>
  <si>
    <t>Tablet</t>
  </si>
  <si>
    <t>ORD010</t>
  </si>
  <si>
    <t>Rajasthan</t>
  </si>
  <si>
    <t>Jaipur</t>
  </si>
  <si>
    <t>Meera Joshi</t>
  </si>
  <si>
    <t>Sofa</t>
  </si>
  <si>
    <t>EMI</t>
  </si>
  <si>
    <t>ORD011</t>
  </si>
  <si>
    <t>Tamil Nadu</t>
  </si>
  <si>
    <t>Chennai</t>
  </si>
  <si>
    <t>Anil Kumar</t>
  </si>
  <si>
    <t>Camera</t>
  </si>
  <si>
    <t>ORD012</t>
  </si>
  <si>
    <t>Bihar</t>
  </si>
  <si>
    <t>Patna</t>
  </si>
  <si>
    <t>Kavita Singh</t>
  </si>
  <si>
    <t>Desk</t>
  </si>
  <si>
    <t>ORD013</t>
  </si>
  <si>
    <t>Haryana</t>
  </si>
  <si>
    <t>Gurgaon</t>
  </si>
  <si>
    <t>Raj Malhotra</t>
  </si>
  <si>
    <t>Keyboard</t>
  </si>
  <si>
    <t>Card</t>
  </si>
  <si>
    <t>ORD014</t>
  </si>
  <si>
    <t>Goa</t>
  </si>
  <si>
    <t>Panaji</t>
  </si>
  <si>
    <t>Sneha Shah</t>
  </si>
  <si>
    <t>File Folder</t>
  </si>
  <si>
    <t>ORD015</t>
  </si>
  <si>
    <t>Kerala</t>
  </si>
  <si>
    <t>Kochi</t>
  </si>
  <si>
    <t>Deepak Nair</t>
  </si>
  <si>
    <t>Cabinet</t>
  </si>
  <si>
    <t>ORD016</t>
  </si>
  <si>
    <t>Assam</t>
  </si>
  <si>
    <t>Guwahati</t>
  </si>
  <si>
    <t>Riya Das</t>
  </si>
  <si>
    <t>Headphones</t>
  </si>
  <si>
    <t>ORD017</t>
  </si>
  <si>
    <t>Jodhpur</t>
  </si>
  <si>
    <t>Mohit Jain</t>
  </si>
  <si>
    <t>Scanner</t>
  </si>
  <si>
    <t>ORD018</t>
  </si>
  <si>
    <t>Pune</t>
  </si>
  <si>
    <t>Nisha Patil</t>
  </si>
  <si>
    <t>Bookshelf</t>
  </si>
  <si>
    <t>ORD019</t>
  </si>
  <si>
    <t>Andhra Pradesh</t>
  </si>
  <si>
    <t>Vijayawada</t>
  </si>
  <si>
    <t>Suresh Rao</t>
  </si>
  <si>
    <t>Laptop Bag</t>
  </si>
  <si>
    <t>ORD020</t>
  </si>
  <si>
    <t>Jharkhand</t>
  </si>
  <si>
    <t>Ranchi</t>
  </si>
  <si>
    <t>Priya Roy</t>
  </si>
  <si>
    <t>Notebook</t>
  </si>
  <si>
    <t>ORD021</t>
  </si>
  <si>
    <t>Noida</t>
  </si>
  <si>
    <t>Aman Verma</t>
  </si>
  <si>
    <t>Smart Watch</t>
  </si>
  <si>
    <t>ORD022</t>
  </si>
  <si>
    <t>Surat</t>
  </si>
  <si>
    <t>Rakesh Patel</t>
  </si>
  <si>
    <t>Chair</t>
  </si>
  <si>
    <t>ORD023</t>
  </si>
  <si>
    <t>Mysore</t>
  </si>
  <si>
    <t>Divya Rao</t>
  </si>
  <si>
    <t>Speaker</t>
  </si>
  <si>
    <t>ORD024</t>
  </si>
  <si>
    <t>Cuttack</t>
  </si>
  <si>
    <t>Rahul Das</t>
  </si>
  <si>
    <t>Stapler</t>
  </si>
  <si>
    <t>ORD025</t>
  </si>
  <si>
    <t>Amritsar</t>
  </si>
  <si>
    <t>Harish Singh</t>
  </si>
  <si>
    <t>ORD026</t>
  </si>
  <si>
    <t>Nashik</t>
  </si>
  <si>
    <t>Alisha More</t>
  </si>
  <si>
    <t>ORD027</t>
  </si>
  <si>
    <t>Madurai</t>
  </si>
  <si>
    <t>Kiran Kumar</t>
  </si>
  <si>
    <t>ORD028</t>
  </si>
  <si>
    <t>Siliguri</t>
  </si>
  <si>
    <t>Sneha Roy</t>
  </si>
  <si>
    <t>Mouse</t>
  </si>
  <si>
    <t>Row Labels</t>
  </si>
  <si>
    <t>Grand Total</t>
  </si>
  <si>
    <t>Sum of Sales</t>
  </si>
  <si>
    <t>Sum of Profit</t>
  </si>
  <si>
    <t>Average of Sales</t>
  </si>
  <si>
    <t>Count of Order ID</t>
  </si>
  <si>
    <t>SALES PERFORMANCE DASHBOARD</t>
  </si>
  <si>
    <t>Column1</t>
  </si>
  <si>
    <t>Column2</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</si>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</sst>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b/>
      <sz val="11"/>
      <color theme="0"/>
      <name val="Times New Roman"/>
      <family val="1"/>
    </font>
    <font>
      <sz val="11"/>
      <color theme="1"/>
      <name val="Times New Roman"/>
      <family val="1"/>
    </font>
    <font>
      <b/>
      <sz val="36"/>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002060"/>
        <bgColor indexed="64"/>
      </patternFill>
    </fill>
  </fills>
  <borders count="4">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right" vertical="center" wrapText="1"/>
    </xf>
    <xf numFmtId="0" fontId="1" fillId="2" borderId="3" xfId="0" applyFont="1" applyFill="1" applyBorder="1" applyAlignment="1">
      <alignment horizontal="center" vertical="center" wrapText="1"/>
    </xf>
    <xf numFmtId="0" fontId="2" fillId="3" borderId="1" xfId="0" applyFont="1" applyFill="1" applyBorder="1" applyAlignment="1">
      <alignment vertical="center" wrapText="1"/>
    </xf>
    <xf numFmtId="15" fontId="2" fillId="3" borderId="2" xfId="0" applyNumberFormat="1" applyFont="1" applyFill="1" applyBorder="1" applyAlignment="1">
      <alignment vertical="center" wrapText="1"/>
    </xf>
    <xf numFmtId="0" fontId="2" fillId="3" borderId="2" xfId="0" applyFont="1" applyFill="1" applyBorder="1" applyAlignment="1">
      <alignment vertical="center" wrapText="1"/>
    </xf>
    <xf numFmtId="0" fontId="2" fillId="3" borderId="2" xfId="0" applyFont="1" applyFill="1" applyBorder="1" applyAlignment="1">
      <alignment horizontal="right" vertical="center" wrapText="1"/>
    </xf>
    <xf numFmtId="0" fontId="2" fillId="3" borderId="3" xfId="0" applyFont="1" applyFill="1" applyBorder="1" applyAlignment="1">
      <alignment vertical="center" wrapText="1"/>
    </xf>
    <xf numFmtId="0" fontId="2" fillId="0" borderId="1" xfId="0" applyFont="1" applyBorder="1" applyAlignment="1">
      <alignment vertical="center" wrapText="1"/>
    </xf>
    <xf numFmtId="15" fontId="2" fillId="0" borderId="2" xfId="0" applyNumberFormat="1"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right" vertical="center" wrapText="1"/>
    </xf>
    <xf numFmtId="0" fontId="2" fillId="0" borderId="3" xfId="0" applyFont="1" applyBorder="1" applyAlignment="1">
      <alignment vertical="center" wrapText="1"/>
    </xf>
    <xf numFmtId="0" fontId="0" fillId="0" borderId="0" xfId="0" pivotButton="1"/>
    <xf numFmtId="0" fontId="0" fillId="0" borderId="0" xfId="0" applyAlignment="1">
      <alignment horizontal="left"/>
    </xf>
    <xf numFmtId="164" fontId="0" fillId="0" borderId="0" xfId="0" applyNumberFormat="1"/>
    <xf numFmtId="0" fontId="3" fillId="4" borderId="0" xfId="0" applyFont="1" applyFill="1" applyAlignment="1">
      <alignment horizontal="center" vertical="center"/>
    </xf>
    <xf numFmtId="0" fontId="0" fillId="4" borderId="0" xfId="0" applyFill="1"/>
    <xf numFmtId="0" fontId="0" fillId="0" borderId="0" xfId="0" applyNumberFormat="1"/>
  </cellXfs>
  <cellStyles count="1">
    <cellStyle name="Normal" xfId="0" builtinId="0"/>
  </cellStyles>
  <dxfs count="2">
    <dxf>
      <numFmt numFmtId="0" formatCode="General"/>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 table!city</c:name>
    <c:fmtId val="2"/>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SALES</a:t>
            </a:r>
            <a:r>
              <a:rPr lang="en-US" sz="1600" b="1" i="1" baseline="0">
                <a:solidFill>
                  <a:srgbClr val="FF0000"/>
                </a:solidFill>
              </a:rPr>
              <a:t> BY CITY</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7634259259259263"/>
          <c:w val="0.93888888888888888"/>
          <c:h val="0.54021617089530471"/>
        </c:manualLayout>
      </c:layout>
      <c:barChart>
        <c:barDir val="col"/>
        <c:grouping val="clustered"/>
        <c:varyColors val="0"/>
        <c:ser>
          <c:idx val="0"/>
          <c:order val="0"/>
          <c:tx>
            <c:strRef>
              <c:f>'pivot table'!$H$3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table'!$G$4:$G$32</c:f>
              <c:strCache>
                <c:ptCount val="28"/>
                <c:pt idx="0">
                  <c:v>Ahmedabad</c:v>
                </c:pt>
                <c:pt idx="1">
                  <c:v>Amritsar</c:v>
                </c:pt>
                <c:pt idx="2">
                  <c:v>Bengaluru</c:v>
                </c:pt>
                <c:pt idx="3">
                  <c:v>Bhubaneswar</c:v>
                </c:pt>
                <c:pt idx="4">
                  <c:v>Chennai</c:v>
                </c:pt>
                <c:pt idx="5">
                  <c:v>Cuttack</c:v>
                </c:pt>
                <c:pt idx="6">
                  <c:v>Delhi</c:v>
                </c:pt>
                <c:pt idx="7">
                  <c:v>Gurgaon</c:v>
                </c:pt>
                <c:pt idx="8">
                  <c:v>Guwahati</c:v>
                </c:pt>
                <c:pt idx="9">
                  <c:v>Hyderabad</c:v>
                </c:pt>
                <c:pt idx="10">
                  <c:v>Jaipur</c:v>
                </c:pt>
                <c:pt idx="11">
                  <c:v>Jodhpur</c:v>
                </c:pt>
                <c:pt idx="12">
                  <c:v>Kochi</c:v>
                </c:pt>
                <c:pt idx="13">
                  <c:v>Kolkata</c:v>
                </c:pt>
                <c:pt idx="14">
                  <c:v>Lucknow</c:v>
                </c:pt>
                <c:pt idx="15">
                  <c:v>Ludhiana</c:v>
                </c:pt>
                <c:pt idx="16">
                  <c:v>Madurai</c:v>
                </c:pt>
                <c:pt idx="17">
                  <c:v>Mumbai</c:v>
                </c:pt>
                <c:pt idx="18">
                  <c:v>Mysore</c:v>
                </c:pt>
                <c:pt idx="19">
                  <c:v>Nashik</c:v>
                </c:pt>
                <c:pt idx="20">
                  <c:v>Noida</c:v>
                </c:pt>
                <c:pt idx="21">
                  <c:v>Panaji</c:v>
                </c:pt>
                <c:pt idx="22">
                  <c:v>Patna</c:v>
                </c:pt>
                <c:pt idx="23">
                  <c:v>Pune</c:v>
                </c:pt>
                <c:pt idx="24">
                  <c:v>Ranchi</c:v>
                </c:pt>
                <c:pt idx="25">
                  <c:v>Siliguri</c:v>
                </c:pt>
                <c:pt idx="26">
                  <c:v>Surat</c:v>
                </c:pt>
                <c:pt idx="27">
                  <c:v>Vijayawada</c:v>
                </c:pt>
              </c:strCache>
            </c:strRef>
          </c:cat>
          <c:val>
            <c:numRef>
              <c:f>'pivot table'!$H$4:$H$32</c:f>
              <c:numCache>
                <c:formatCode>General</c:formatCode>
                <c:ptCount val="28"/>
                <c:pt idx="0">
                  <c:v>360</c:v>
                </c:pt>
                <c:pt idx="1">
                  <c:v>550</c:v>
                </c:pt>
                <c:pt idx="2">
                  <c:v>1500</c:v>
                </c:pt>
                <c:pt idx="3">
                  <c:v>80</c:v>
                </c:pt>
                <c:pt idx="4">
                  <c:v>900</c:v>
                </c:pt>
                <c:pt idx="5">
                  <c:v>240</c:v>
                </c:pt>
                <c:pt idx="6">
                  <c:v>1700</c:v>
                </c:pt>
                <c:pt idx="7">
                  <c:v>250</c:v>
                </c:pt>
                <c:pt idx="8">
                  <c:v>360</c:v>
                </c:pt>
                <c:pt idx="9">
                  <c:v>630</c:v>
                </c:pt>
                <c:pt idx="10">
                  <c:v>700</c:v>
                </c:pt>
                <c:pt idx="11">
                  <c:v>400</c:v>
                </c:pt>
                <c:pt idx="12">
                  <c:v>800</c:v>
                </c:pt>
                <c:pt idx="13">
                  <c:v>90</c:v>
                </c:pt>
                <c:pt idx="14">
                  <c:v>600</c:v>
                </c:pt>
                <c:pt idx="15">
                  <c:v>320</c:v>
                </c:pt>
                <c:pt idx="16">
                  <c:v>640</c:v>
                </c:pt>
                <c:pt idx="17">
                  <c:v>480</c:v>
                </c:pt>
                <c:pt idx="18">
                  <c:v>480</c:v>
                </c:pt>
                <c:pt idx="19">
                  <c:v>850</c:v>
                </c:pt>
                <c:pt idx="20">
                  <c:v>750</c:v>
                </c:pt>
                <c:pt idx="21">
                  <c:v>200</c:v>
                </c:pt>
                <c:pt idx="22">
                  <c:v>450</c:v>
                </c:pt>
                <c:pt idx="23">
                  <c:v>500</c:v>
                </c:pt>
                <c:pt idx="24">
                  <c:v>250</c:v>
                </c:pt>
                <c:pt idx="25">
                  <c:v>300</c:v>
                </c:pt>
                <c:pt idx="26">
                  <c:v>600</c:v>
                </c:pt>
                <c:pt idx="27">
                  <c:v>320</c:v>
                </c:pt>
              </c:numCache>
            </c:numRef>
          </c:val>
          <c:extLst>
            <c:ext xmlns:c16="http://schemas.microsoft.com/office/drawing/2014/chart" uri="{C3380CC4-5D6E-409C-BE32-E72D297353CC}">
              <c16:uniqueId val="{00000000-F408-4EA5-A403-9AE50ADD7C48}"/>
            </c:ext>
          </c:extLst>
        </c:ser>
        <c:dLbls>
          <c:dLblPos val="outEnd"/>
          <c:showLegendKey val="0"/>
          <c:showVal val="1"/>
          <c:showCatName val="0"/>
          <c:showSerName val="0"/>
          <c:showPercent val="0"/>
          <c:showBubbleSize val="0"/>
        </c:dLbls>
        <c:gapWidth val="219"/>
        <c:overlap val="-27"/>
        <c:axId val="642071775"/>
        <c:axId val="642076767"/>
      </c:barChart>
      <c:catAx>
        <c:axId val="64207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2076767"/>
        <c:crosses val="autoZero"/>
        <c:auto val="1"/>
        <c:lblAlgn val="ctr"/>
        <c:lblOffset val="100"/>
        <c:noMultiLvlLbl val="0"/>
      </c:catAx>
      <c:valAx>
        <c:axId val="642076767"/>
        <c:scaling>
          <c:orientation val="minMax"/>
        </c:scaling>
        <c:delete val="1"/>
        <c:axPos val="l"/>
        <c:numFmt formatCode="General" sourceLinked="1"/>
        <c:majorTickMark val="none"/>
        <c:minorTickMark val="none"/>
        <c:tickLblPos val="nextTo"/>
        <c:crossAx val="64207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 table!region</c:name>
    <c:fmtId val="2"/>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BA-4A1D-9438-F2051684FB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BA-4A1D-9438-F2051684FB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BA-4A1D-9438-F2051684FB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BA-4A1D-9438-F2051684FB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1770</c:v>
                </c:pt>
                <c:pt idx="1">
                  <c:v>4570</c:v>
                </c:pt>
                <c:pt idx="2">
                  <c:v>5270</c:v>
                </c:pt>
                <c:pt idx="3">
                  <c:v>3690</c:v>
                </c:pt>
              </c:numCache>
            </c:numRef>
          </c:val>
          <c:extLst>
            <c:ext xmlns:c16="http://schemas.microsoft.com/office/drawing/2014/chart" uri="{C3380CC4-5D6E-409C-BE32-E72D297353CC}">
              <c16:uniqueId val="{00000008-37BA-4A1D-9438-F2051684FB0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70C0"/>
        </a:gs>
        <a:gs pos="100000">
          <a:schemeClr val="accent6">
            <a:lumMod val="60000"/>
            <a:lumOff val="40000"/>
          </a:schemeClr>
        </a:gs>
        <a:gs pos="94558">
          <a:schemeClr val="accent5">
            <a:lumMod val="50000"/>
          </a:schemeClr>
        </a:gs>
        <a:gs pos="74121">
          <a:schemeClr val="accent5">
            <a:lumMod val="75000"/>
          </a:schemeClr>
        </a:gs>
        <a:gs pos="36000">
          <a:schemeClr val="accent5">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 table!product</c:name>
    <c:fmtId val="2"/>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PRODUCT</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05282863561813"/>
          <c:y val="8.8558585739781454E-2"/>
          <c:w val="0.78010435948787471"/>
          <c:h val="0.87507238520897357"/>
        </c:manualLayout>
      </c:layout>
      <c:barChart>
        <c:barDir val="bar"/>
        <c:grouping val="clustered"/>
        <c:varyColors val="0"/>
        <c:ser>
          <c:idx val="0"/>
          <c:order val="0"/>
          <c:tx>
            <c:strRef>
              <c:f>'pivot table'!$K$19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table'!$J$20:$J$45</c:f>
              <c:strCache>
                <c:ptCount val="25"/>
                <c:pt idx="0">
                  <c:v>Bookshelf</c:v>
                </c:pt>
                <c:pt idx="1">
                  <c:v>Cabinet</c:v>
                </c:pt>
                <c:pt idx="2">
                  <c:v>Camera</c:v>
                </c:pt>
                <c:pt idx="3">
                  <c:v>Chair</c:v>
                </c:pt>
                <c:pt idx="4">
                  <c:v>Desk</c:v>
                </c:pt>
                <c:pt idx="5">
                  <c:v>File Folder</c:v>
                </c:pt>
                <c:pt idx="6">
                  <c:v>Headphones</c:v>
                </c:pt>
                <c:pt idx="7">
                  <c:v>Keyboard</c:v>
                </c:pt>
                <c:pt idx="8">
                  <c:v>Laptop</c:v>
                </c:pt>
                <c:pt idx="9">
                  <c:v>Laptop Bag</c:v>
                </c:pt>
                <c:pt idx="10">
                  <c:v>Mobile</c:v>
                </c:pt>
                <c:pt idx="11">
                  <c:v>Monitor</c:v>
                </c:pt>
                <c:pt idx="12">
                  <c:v>Mouse</c:v>
                </c:pt>
                <c:pt idx="13">
                  <c:v>Notebook</c:v>
                </c:pt>
                <c:pt idx="14">
                  <c:v>Office Chair</c:v>
                </c:pt>
                <c:pt idx="15">
                  <c:v>Paper Pack</c:v>
                </c:pt>
                <c:pt idx="16">
                  <c:v>Pen Pack</c:v>
                </c:pt>
                <c:pt idx="17">
                  <c:v>Printer</c:v>
                </c:pt>
                <c:pt idx="18">
                  <c:v>Scanner</c:v>
                </c:pt>
                <c:pt idx="19">
                  <c:v>Smart Watch</c:v>
                </c:pt>
                <c:pt idx="20">
                  <c:v>Sofa</c:v>
                </c:pt>
                <c:pt idx="21">
                  <c:v>Speaker</c:v>
                </c:pt>
                <c:pt idx="22">
                  <c:v>Stapler</c:v>
                </c:pt>
                <c:pt idx="23">
                  <c:v>Table</c:v>
                </c:pt>
                <c:pt idx="24">
                  <c:v>Tablet</c:v>
                </c:pt>
              </c:strCache>
            </c:strRef>
          </c:cat>
          <c:val>
            <c:numRef>
              <c:f>'pivot table'!$K$20:$K$45</c:f>
              <c:numCache>
                <c:formatCode>General</c:formatCode>
                <c:ptCount val="25"/>
                <c:pt idx="0">
                  <c:v>500</c:v>
                </c:pt>
                <c:pt idx="1">
                  <c:v>800</c:v>
                </c:pt>
                <c:pt idx="2">
                  <c:v>900</c:v>
                </c:pt>
                <c:pt idx="3">
                  <c:v>600</c:v>
                </c:pt>
                <c:pt idx="4">
                  <c:v>450</c:v>
                </c:pt>
                <c:pt idx="5">
                  <c:v>200</c:v>
                </c:pt>
                <c:pt idx="6">
                  <c:v>360</c:v>
                </c:pt>
                <c:pt idx="7">
                  <c:v>250</c:v>
                </c:pt>
                <c:pt idx="8">
                  <c:v>1700</c:v>
                </c:pt>
                <c:pt idx="9">
                  <c:v>320</c:v>
                </c:pt>
                <c:pt idx="10">
                  <c:v>1500</c:v>
                </c:pt>
                <c:pt idx="11">
                  <c:v>630</c:v>
                </c:pt>
                <c:pt idx="12">
                  <c:v>300</c:v>
                </c:pt>
                <c:pt idx="13">
                  <c:v>250</c:v>
                </c:pt>
                <c:pt idx="14">
                  <c:v>480</c:v>
                </c:pt>
                <c:pt idx="15">
                  <c:v>90</c:v>
                </c:pt>
                <c:pt idx="16">
                  <c:v>80</c:v>
                </c:pt>
                <c:pt idx="17">
                  <c:v>960</c:v>
                </c:pt>
                <c:pt idx="18">
                  <c:v>400</c:v>
                </c:pt>
                <c:pt idx="19">
                  <c:v>750</c:v>
                </c:pt>
                <c:pt idx="20">
                  <c:v>1550</c:v>
                </c:pt>
                <c:pt idx="21">
                  <c:v>480</c:v>
                </c:pt>
                <c:pt idx="22">
                  <c:v>240</c:v>
                </c:pt>
                <c:pt idx="23">
                  <c:v>360</c:v>
                </c:pt>
                <c:pt idx="24">
                  <c:v>1150</c:v>
                </c:pt>
              </c:numCache>
            </c:numRef>
          </c:val>
          <c:extLst>
            <c:ext xmlns:c16="http://schemas.microsoft.com/office/drawing/2014/chart" uri="{C3380CC4-5D6E-409C-BE32-E72D297353CC}">
              <c16:uniqueId val="{00000000-09EB-47DB-9592-F0F4AC52290F}"/>
            </c:ext>
          </c:extLst>
        </c:ser>
        <c:dLbls>
          <c:dLblPos val="outEnd"/>
          <c:showLegendKey val="0"/>
          <c:showVal val="1"/>
          <c:showCatName val="0"/>
          <c:showSerName val="0"/>
          <c:showPercent val="0"/>
          <c:showBubbleSize val="0"/>
        </c:dLbls>
        <c:gapWidth val="182"/>
        <c:axId val="1056445983"/>
        <c:axId val="1056445151"/>
      </c:barChart>
      <c:catAx>
        <c:axId val="10564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56445151"/>
        <c:crosses val="autoZero"/>
        <c:auto val="1"/>
        <c:lblAlgn val="ctr"/>
        <c:lblOffset val="100"/>
        <c:noMultiLvlLbl val="0"/>
      </c:catAx>
      <c:valAx>
        <c:axId val="1056445151"/>
        <c:scaling>
          <c:orientation val="minMax"/>
        </c:scaling>
        <c:delete val="1"/>
        <c:axPos val="b"/>
        <c:numFmt formatCode="General" sourceLinked="1"/>
        <c:majorTickMark val="none"/>
        <c:minorTickMark val="none"/>
        <c:tickLblPos val="nextTo"/>
        <c:crossAx val="10564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 table!category</c:name>
    <c:fmtId val="3"/>
  </c:pivotSource>
  <c:chart>
    <c:title>
      <c:tx>
        <c:rich>
          <a:bodyPr rot="0" spcFirstLastPara="1" vertOverflow="ellipsis" vert="horz" wrap="square" anchor="ctr" anchorCtr="1"/>
          <a:lstStyle/>
          <a:p>
            <a:pPr algn="ctr" rtl="0">
              <a:defRPr lang="en-IN" sz="1600" b="1" i="1" u="none" strike="noStrike" kern="1200" spc="0" baseline="0">
                <a:solidFill>
                  <a:srgbClr val="FF0000"/>
                </a:solidFill>
                <a:latin typeface="+mn-lt"/>
                <a:ea typeface="+mn-ea"/>
                <a:cs typeface="+mn-cs"/>
              </a:defRPr>
            </a:pPr>
            <a:r>
              <a:rPr lang="en-IN" sz="1600" b="1" i="1" u="none" strike="noStrike" kern="1200" spc="0" baseline="0">
                <a:solidFill>
                  <a:srgbClr val="FF0000"/>
                </a:solidFill>
                <a:latin typeface="+mn-lt"/>
                <a:ea typeface="+mn-ea"/>
                <a:cs typeface="+mn-cs"/>
              </a:rPr>
              <a:t>SALES AND PROFIT BY CATEGORY</a:t>
            </a:r>
          </a:p>
        </c:rich>
      </c:tx>
      <c:overlay val="0"/>
      <c:spPr>
        <a:noFill/>
        <a:ln>
          <a:noFill/>
        </a:ln>
        <a:effectLst/>
      </c:spPr>
      <c:txPr>
        <a:bodyPr rot="0" spcFirstLastPara="1" vertOverflow="ellipsis" vert="horz" wrap="square" anchor="ctr" anchorCtr="1"/>
        <a:lstStyle/>
        <a:p>
          <a:pPr algn="ctr" rtl="0">
            <a:defRPr lang="en-IN"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646559923526119E-2"/>
          <c:y val="0.13060141805178122"/>
          <c:w val="0.93888888888888888"/>
          <c:h val="0.72088764946048411"/>
        </c:manualLayout>
      </c:layout>
      <c:lineChart>
        <c:grouping val="standard"/>
        <c:varyColors val="0"/>
        <c:ser>
          <c:idx val="0"/>
          <c:order val="0"/>
          <c:tx>
            <c:strRef>
              <c:f>'pivot table'!$K$11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table'!$J$12:$J$16</c:f>
              <c:strCache>
                <c:ptCount val="4"/>
                <c:pt idx="0">
                  <c:v>Electronics</c:v>
                </c:pt>
                <c:pt idx="1">
                  <c:v>Furniture</c:v>
                </c:pt>
                <c:pt idx="2">
                  <c:v>Office Supplies</c:v>
                </c:pt>
                <c:pt idx="3">
                  <c:v>Technology</c:v>
                </c:pt>
              </c:strCache>
            </c:strRef>
          </c:cat>
          <c:val>
            <c:numRef>
              <c:f>'pivot table'!$K$12:$K$16</c:f>
              <c:numCache>
                <c:formatCode>General</c:formatCode>
                <c:ptCount val="4"/>
                <c:pt idx="0">
                  <c:v>8340</c:v>
                </c:pt>
                <c:pt idx="1">
                  <c:v>4740</c:v>
                </c:pt>
                <c:pt idx="2">
                  <c:v>860</c:v>
                </c:pt>
                <c:pt idx="3">
                  <c:v>1360</c:v>
                </c:pt>
              </c:numCache>
            </c:numRef>
          </c:val>
          <c:smooth val="0"/>
          <c:extLst>
            <c:ext xmlns:c16="http://schemas.microsoft.com/office/drawing/2014/chart" uri="{C3380CC4-5D6E-409C-BE32-E72D297353CC}">
              <c16:uniqueId val="{00000000-781F-4879-ABAA-3FD4F0EDB0B7}"/>
            </c:ext>
          </c:extLst>
        </c:ser>
        <c:ser>
          <c:idx val="1"/>
          <c:order val="1"/>
          <c:tx>
            <c:strRef>
              <c:f>'pivot table'!$L$11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table'!$J$12:$J$16</c:f>
              <c:strCache>
                <c:ptCount val="4"/>
                <c:pt idx="0">
                  <c:v>Electronics</c:v>
                </c:pt>
                <c:pt idx="1">
                  <c:v>Furniture</c:v>
                </c:pt>
                <c:pt idx="2">
                  <c:v>Office Supplies</c:v>
                </c:pt>
                <c:pt idx="3">
                  <c:v>Technology</c:v>
                </c:pt>
              </c:strCache>
            </c:strRef>
          </c:cat>
          <c:val>
            <c:numRef>
              <c:f>'pivot table'!$L$12:$L$16</c:f>
              <c:numCache>
                <c:formatCode>General</c:formatCode>
                <c:ptCount val="4"/>
                <c:pt idx="0">
                  <c:v>1850</c:v>
                </c:pt>
                <c:pt idx="1">
                  <c:v>1160</c:v>
                </c:pt>
                <c:pt idx="2">
                  <c:v>305</c:v>
                </c:pt>
                <c:pt idx="3">
                  <c:v>340</c:v>
                </c:pt>
              </c:numCache>
            </c:numRef>
          </c:val>
          <c:smooth val="0"/>
          <c:extLst>
            <c:ext xmlns:c16="http://schemas.microsoft.com/office/drawing/2014/chart" uri="{C3380CC4-5D6E-409C-BE32-E72D297353CC}">
              <c16:uniqueId val="{00000001-781F-4879-ABAA-3FD4F0EDB0B7}"/>
            </c:ext>
          </c:extLst>
        </c:ser>
        <c:dLbls>
          <c:dLblPos val="t"/>
          <c:showLegendKey val="0"/>
          <c:showVal val="1"/>
          <c:showCatName val="0"/>
          <c:showSerName val="0"/>
          <c:showPercent val="0"/>
          <c:showBubbleSize val="0"/>
        </c:dLbls>
        <c:marker val="1"/>
        <c:smooth val="0"/>
        <c:axId val="931981519"/>
        <c:axId val="931981935"/>
      </c:lineChart>
      <c:catAx>
        <c:axId val="93198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31981935"/>
        <c:crosses val="autoZero"/>
        <c:auto val="1"/>
        <c:lblAlgn val="ctr"/>
        <c:lblOffset val="100"/>
        <c:noMultiLvlLbl val="0"/>
      </c:catAx>
      <c:valAx>
        <c:axId val="931981935"/>
        <c:scaling>
          <c:orientation val="minMax"/>
        </c:scaling>
        <c:delete val="1"/>
        <c:axPos val="l"/>
        <c:numFmt formatCode="General" sourceLinked="1"/>
        <c:majorTickMark val="none"/>
        <c:minorTickMark val="none"/>
        <c:tickLblPos val="nextTo"/>
        <c:crossAx val="93198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75000"/>
          </a:schemeClr>
        </a:gs>
        <a:gs pos="100000">
          <a:schemeClr val="accent6">
            <a:lumMod val="60000"/>
            <a:lumOff val="40000"/>
          </a:schemeClr>
        </a:gs>
        <a:gs pos="94558">
          <a:schemeClr val="accent6">
            <a:lumMod val="40000"/>
            <a:lumOff val="60000"/>
          </a:schemeClr>
        </a:gs>
        <a:gs pos="65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 table!segment</c:name>
    <c:fmtId val="2"/>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SEGMENT</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A9-458B-ACC1-F4CBD43B7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A9-458B-ACC1-F4CBD43B72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A9-458B-ACC1-F4CBD43B729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table'!$J$4:$J$7</c:f>
              <c:strCache>
                <c:ptCount val="3"/>
                <c:pt idx="0">
                  <c:v>Consumer</c:v>
                </c:pt>
                <c:pt idx="1">
                  <c:v>Corporate</c:v>
                </c:pt>
                <c:pt idx="2">
                  <c:v>Home Office</c:v>
                </c:pt>
              </c:strCache>
            </c:strRef>
          </c:cat>
          <c:val>
            <c:numRef>
              <c:f>'pivot table'!$K$4:$K$7</c:f>
              <c:numCache>
                <c:formatCode>General</c:formatCode>
                <c:ptCount val="3"/>
                <c:pt idx="0">
                  <c:v>9970</c:v>
                </c:pt>
                <c:pt idx="1">
                  <c:v>5240</c:v>
                </c:pt>
                <c:pt idx="2">
                  <c:v>90</c:v>
                </c:pt>
              </c:numCache>
            </c:numRef>
          </c:val>
          <c:extLst>
            <c:ext xmlns:c16="http://schemas.microsoft.com/office/drawing/2014/chart" uri="{C3380CC4-5D6E-409C-BE32-E72D297353CC}">
              <c16:uniqueId val="{00000006-74A9-458B-ACC1-F4CBD43B729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2900">
          <a:schemeClr val="bg1">
            <a:lumMod val="65000"/>
          </a:schemeClr>
        </a:gs>
        <a:gs pos="0">
          <a:schemeClr val="bg1">
            <a:lumMod val="75000"/>
          </a:schemeClr>
        </a:gs>
        <a:gs pos="100000">
          <a:schemeClr val="bg1">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NEW.xlsx]pivot table!sale rep</c:name>
    <c:fmtId val="2"/>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SALE REP</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8312500000000004"/>
          <c:w val="0.93888888888888888"/>
          <c:h val="0.71015255905511809"/>
        </c:manualLayout>
      </c:layout>
      <c:barChart>
        <c:barDir val="col"/>
        <c:grouping val="clustered"/>
        <c:varyColors val="0"/>
        <c:ser>
          <c:idx val="0"/>
          <c:order val="0"/>
          <c:tx>
            <c:strRef>
              <c:f>'pivot table'!$N$3</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table'!$M$4:$M$8</c:f>
              <c:strCache>
                <c:ptCount val="4"/>
                <c:pt idx="0">
                  <c:v>Ajay</c:v>
                </c:pt>
                <c:pt idx="1">
                  <c:v>Pooja</c:v>
                </c:pt>
                <c:pt idx="2">
                  <c:v>Rahul</c:v>
                </c:pt>
                <c:pt idx="3">
                  <c:v>Sneha</c:v>
                </c:pt>
              </c:strCache>
            </c:strRef>
          </c:cat>
          <c:val>
            <c:numRef>
              <c:f>'pivot table'!$N$4:$N$8</c:f>
              <c:numCache>
                <c:formatCode>General</c:formatCode>
                <c:ptCount val="4"/>
                <c:pt idx="0">
                  <c:v>5270</c:v>
                </c:pt>
                <c:pt idx="1">
                  <c:v>1770</c:v>
                </c:pt>
                <c:pt idx="2">
                  <c:v>4570</c:v>
                </c:pt>
                <c:pt idx="3">
                  <c:v>3690</c:v>
                </c:pt>
              </c:numCache>
            </c:numRef>
          </c:val>
          <c:extLst>
            <c:ext xmlns:c16="http://schemas.microsoft.com/office/drawing/2014/chart" uri="{C3380CC4-5D6E-409C-BE32-E72D297353CC}">
              <c16:uniqueId val="{00000000-BFA7-4342-83AF-160C7BC9DC83}"/>
            </c:ext>
          </c:extLst>
        </c:ser>
        <c:dLbls>
          <c:dLblPos val="outEnd"/>
          <c:showLegendKey val="0"/>
          <c:showVal val="1"/>
          <c:showCatName val="0"/>
          <c:showSerName val="0"/>
          <c:showPercent val="0"/>
          <c:showBubbleSize val="0"/>
        </c:dLbls>
        <c:gapWidth val="219"/>
        <c:overlap val="-27"/>
        <c:axId val="646999007"/>
        <c:axId val="646999423"/>
      </c:barChart>
      <c:catAx>
        <c:axId val="64699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6999423"/>
        <c:crosses val="autoZero"/>
        <c:auto val="1"/>
        <c:lblAlgn val="ctr"/>
        <c:lblOffset val="100"/>
        <c:noMultiLvlLbl val="0"/>
      </c:catAx>
      <c:valAx>
        <c:axId val="646999423"/>
        <c:scaling>
          <c:orientation val="minMax"/>
        </c:scaling>
        <c:delete val="1"/>
        <c:axPos val="l"/>
        <c:numFmt formatCode="General" sourceLinked="1"/>
        <c:majorTickMark val="none"/>
        <c:minorTickMark val="none"/>
        <c:tickLblPos val="nextTo"/>
        <c:crossAx val="64699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2900">
          <a:schemeClr val="accent2">
            <a:lumMod val="40000"/>
            <a:lumOff val="60000"/>
          </a:schemeClr>
        </a:gs>
        <a:gs pos="0">
          <a:schemeClr val="accent2">
            <a:lumMod val="60000"/>
            <a:lumOff val="40000"/>
          </a:schemeClr>
        </a:gs>
        <a:gs pos="100000">
          <a:schemeClr val="accent2">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sz="1800" b="1" i="1"/>
            </a:pPr>
            <a:r>
              <a:rPr lang="en-US" sz="1800" b="1" i="1" u="none" strike="noStrike" kern="1200" spc="0" baseline="0">
                <a:solidFill>
                  <a:srgbClr val="FF0000"/>
                </a:solidFill>
                <a:latin typeface="+mn-lt"/>
                <a:ea typeface="+mn-ea"/>
                <a:cs typeface="+mn-cs"/>
              </a:rPr>
              <a:t>SALES</a:t>
            </a:r>
            <a:r>
              <a:rPr lang="en-US" sz="1800" b="1" i="1" u="none" strike="noStrike" baseline="0">
                <a:solidFill>
                  <a:sysClr val="windowText" lastClr="000000">
                    <a:lumMod val="65000"/>
                    <a:lumOff val="35000"/>
                  </a:sysClr>
                </a:solidFill>
                <a:latin typeface="Calibri" panose="020F0502020204030204"/>
              </a:rPr>
              <a:t> </a:t>
            </a:r>
            <a:r>
              <a:rPr lang="en-US" sz="1800" b="1" i="1" u="none" strike="noStrike" kern="1200" spc="0" baseline="0">
                <a:solidFill>
                  <a:srgbClr val="FF0000"/>
                </a:solidFill>
                <a:latin typeface="+mn-lt"/>
                <a:ea typeface="+mn-ea"/>
                <a:cs typeface="+mn-cs"/>
              </a:rPr>
              <a:t>BY</a:t>
            </a:r>
            <a:r>
              <a:rPr lang="en-US" sz="1800" b="1" i="1" u="none" strike="noStrike" baseline="0">
                <a:solidFill>
                  <a:sysClr val="windowText" lastClr="000000">
                    <a:lumMod val="65000"/>
                    <a:lumOff val="35000"/>
                  </a:sysClr>
                </a:solidFill>
                <a:latin typeface="Calibri" panose="020F0502020204030204"/>
              </a:rPr>
              <a:t> </a:t>
            </a:r>
            <a:r>
              <a:rPr lang="en-US" sz="1800" b="1" i="1" u="none" strike="noStrike" kern="1200" spc="0" baseline="0">
                <a:solidFill>
                  <a:srgbClr val="FF0000"/>
                </a:solidFill>
                <a:latin typeface="+mn-lt"/>
                <a:ea typeface="+mn-ea"/>
                <a:cs typeface="+mn-cs"/>
              </a:rPr>
              <a:t>STATE</a:t>
            </a:r>
          </a:p>
        </cx:rich>
      </cx:tx>
    </cx:title>
    <cx:plotArea>
      <cx:plotAreaRegion>
        <cx:plotSurface>
          <cx:spPr>
            <a:gradFill>
              <a:gsLst>
                <a:gs pos="0">
                  <a:srgbClr val="00B0F0"/>
                </a:gs>
                <a:gs pos="9000">
                  <a:srgbClr val="002060"/>
                </a:gs>
                <a:gs pos="100000">
                  <a:schemeClr val="accent1">
                    <a:lumMod val="30000"/>
                    <a:lumOff val="70000"/>
                  </a:schemeClr>
                </a:gs>
              </a:gsLst>
              <a:lin ang="5400000" scaled="1"/>
            </a:gradFill>
          </cx:spPr>
        </cx:plotSurface>
        <cx:series layoutId="regionMap" uniqueId="{CACAE7E3-20AC-4F2D-A090-3305C58A9457}">
          <cx:tx>
            <cx:txData>
              <cx:f>_xlchart.v5.2</cx:f>
              <cx:v>Column2</cx:v>
            </cx:txData>
          </cx:tx>
          <cx:data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s>
          <cx:dataId val="0"/>
          <cx:layoutPr>
            <cx:geography cultureLanguage="en-US" cultureRegion="IN" attribution="Powered by Bing">
              <cx:geoCache provider="{E9337A44-BEBE-4D9F-B70C-5C5E7DAFC167}">
                <cx:binary>7Hxpb9w4tvZfCfL5lZv7MpgeYKQqy3vsJJ2lvwiO7VD7Qmr/9feUnaRttR1nNLnADfAaDXRsFckj
PnzOzvrn1fiPq/zm0r4Yi7x0/7gaf38Zt239j99+c1fxTXHp9orkylau+tzuXVXFb9Xnz8nVzW/X
9nJISvMbQZj9dhVf2vZmfPmvf8Js5qY6qa4u26QqL7obO72+cV3euu88e/TRi8vrIik3iWttctXi
318ewSJZfFlev3xxU7ZJO72d6pvfXz742MsXvy0n+9vCL3KQre2uYSyhe4ILTLSi+vZHvXyRV6X5
8ljxPS4YpkSou8fs69JnlwUM/yGJbuW5vL62N87BO93+/8HQBy8ATw5evriqurLd7ZyBTfz95WF5
nVy+fJG4Krh7EFQ76Q/Pbl/3t4d7/q9/Lv4AG7D4yz1Ylrv13KO/oRJ26aW9bL9uzE/AhOwJTQSW
jKDbH/wAE4n3uJZIYMzvMBFfl77D5AfkeRyRbwMXeIRHvxQe/y6vY3v54txeXt+4+Ove/PewYL4n
OedYaXS37/ohLHpPC84AFHb3mH5d+g6WHxfrcXSW4xcg/fv81wLJucvi6wb999gQsUc5o0oDOnc/
D7DRZE8RyQG4L1puic1z0jwByd2wJRJvfikk/ASsyk9Egu8JqRXHnD6mvMCgCKSFYJp8XfOOHs+K
8TgEX4YtIPBf/1IQHFza6bIE+/bTrLrew1phzfgDGkhgCUOEIabusFlYjh+Q43EUvg1c4HDwa+Gw
ucnj5CeioPYEo1QjIR6jgpR7YMKZBK7cqawFGs9K8zgWX4YtkNic/FKMCKufyAYw3FRQQjV51DhI
toc4EVoQcocDkOaOiF/8qe/L8jgKty+wwCD89y+FwfGlLS/by+xnIsH2JEaMsCc8W7GHwXiA6Xjc
TP+QRI/jcW/oApXjXwyVG3uZ/0xI0B5jWkkpIbS7F/mBrWBIEQj+viivhb0+flaOJ4D4Mm6Jwq+l
n867Mr389FVP/Pf+K0V7ioF6gpDvIQp8DyIKJulXxxXC8/u66Xk5Hkfh67gFCuf+L6WhTi/Bdb10
cWt/JiH0HuMEKQrhwu0PfogI6CikNCVfojy9sBY/KNPjsDwYvMDm9NfKiry6Tlz8E2EhaI9jihgD
XB6J8BTbA/5ACIi+oLaA5XlxHkfk67gFGK9e/1JEeX2ZXroWModftcd/r7Eg4uaKcQG5wzuaLBQX
BYWmwfXVX5zbBR4/JNHjkNwbukDl9a+VqHp7WST5i7PL6+7nwYLxHsICI6TAUtw35wrMuUQEcfl1
sTvv9seEeByJ+2MXULyFzOwvlMN9e5NfluanxuBY7kGULTikpB4iofcQ0kAO/sWCLEz6D4nyBB5/
vcUSjvCXguOPtoVyzE/P4ILO0oRCuQP48YhpV2BihKCcfK2FLLKEPyzV4+gshi8Q+uPXyt++v3Ht
C/8GOJN/1Sc/waaA0eBcIIG+5Kceul5K7mlJEEViUYX6QWEeh+XB4AUo7/9v+8OPK9j7ScQHn/hP
S4MEcupEyW9J87/VOyCrwjDS/JsDcD80+VKye1qax+H4MuyB4P/L9b+na4PfKqcbSIRsb0uu98qD
3396+3pQCV4M/V6O926vDq9/fyk1ooKge4jtpnkQ+t1LkT0YcQOeHkzA9giUo9CuSCggpyIAvAE4
C092FV/KiMSQCCYUiiYvX5SVbePfX0KiTGEmtMaSaAnoggJ0VXf7iO0pBbYMIYAcpgP34usLnlf5
ZKry2258+f1F2RXnVVK27veXkNms7z51KyrbCYYE2RlBIcGrB57XV5evoZoOH8b/j8ihL3k+DNvU
mMofh3jej9KWBBjHle8V6QiO3rcy9yPrgbP5yHqwIOdsV32Azbi/Xm6oy0SOhu3MXOrPzHzu5zr1
p8EbQQN8byVCAaTlWlwhqYmGUEVyBNt7f61OcEJpHA9bglEWmILzOmhMjA9TQurTLDL9aTfTNMxJ
W25MY/W1yKv+3JVjdlho1hV+42X4CE1D7flZ51jmZ9rY9yxP5eAnSvAzIQw+6hBxn6Zh5lHgsIyE
n44qNn4x56P0B1rdeFFHfaEy/LZQtu33qUwafNwyi86TnDgTuGSONm0q2U0r4mrr1JD2gXJ597kb
vfjGiCTaZKWkmyrK53PdEEH9tplM2PRdGmRd21+kYvaOG4jJ+oOGdVnpZ7EGUToZRe+VQnPik7iZ
pZ+YXBrfqEky3zOeDOuZ2sov8tRrgk4PZvQds6Tyqezt5yL17JF04lAaOA+478jWk+VJOYm3JU+y
epOlNDqajTcfJ4SX5+OYn4wxabcsQn1gkvqDV8RpoBC5SNlchiWXJ9PYWT/RJPab2jYB1Z49meI8
DlDX9UGEhPNzrPN44wlV+knGsy32xuzIm9yHRHepX4ws20xNUvlCesofe3nWlmm6nzsdxHFWBxSP
7ZZ7ettH5RRmhlxgm/iOeK+npt9wLJ0v8BiHSnK2yQt9SBrcB1lNYXlrUx9h87lME+3zLoV/xJMv
0VAduLzVQZ/L0q9ihzaCweJEFGjTK3QxdNj5XWWBOmCqDclOi9JkGyLMpyGCo45drjas9MJkQBdV
Zjdqt6MZjfUmYvGbFqcmQCO55l10gjN52FRpHuS4CFE9Kj8ZTB0QRy8imo1BVeDrVBT7NENNUHRt
SFH6GRGRbbPIfuDwSx+pM0rTz5lOTorWHJk6w0HWR43fx80bY0XoceerqT+OoyxsqXcS5zbZ1nqC
czcqMvtN1DTmJKVsQJuURe5V0/KzxKs+lH1aBwNlo0+H/Bjp8UZ0dbrJRiv2swLAs6MafW106fft
oLcdTTJ/ViUFzJvU75g6I1Nszmg0fooj9340RGw5GRxsRpYEIvLeRtScTKlEwUxZ5FeeiwIiq82U
RaU/CnNsoqwKhSUfMqThBSLlowiWy4fkU8RZmJZe6+eCyqCVlc/qqg8KBEuLgXiHrmr7jXV8CADY
i7iYdBBVw+R7ee78qACiZg2Z37ae6/3IybcDgjctZXHSl4ADQ/Unbapqe6urvpizL2rxTi1fVfVk
ExN/aUL69uu/3lYF/HfbHvPXH3c9TH/9dvq1+em7nwpvql1A6ZYf2knzbS4Q5ot0O3P24Je/Wdev
5mVhP+96qZ54+GPGFSNMiKQQCH/T7H+zrqeXZVJ39qtvuzNbfw27M7EaihmQb0IU0iAEM8XAK70z
sdBuoDUYXQ79IGCFgdDfTCyB+rdGYF4xwxCKgIP1zcRCK5aiAoE3RSFG0ZSK/8TEQvL4oSFSEHvC
MpJwzcHcQrLmoSHijStrD2X6ILVJcTDFO2uU6CPWztSvW0NMwM34NlNpGbI+54GJ5/GPwrXemxIn
763RzanXqPm1iYrxWJKhf+16doHLovGzGcc+HlhyQMYK7fPCmcaPbfQOcnTFaZvBgbeRDlinuuM8
c6+9MsMRGKj4E/ey2ed9Wgakz89TlSrl52mRpb4TU+uzpmP7nkz0vKm56N/qaVLBGLWRPw9TfWpT
NsYb3kwoKOKq8mcUpWFSZ/LAK6EYfqCdHt/kXRF/SOr6Jpu9Um5MSxsbjEn6Z0LST4Mm6CBh7Cwt
BSjCOM+OB1W0G0eZ25Rs+oy8stiwrmzORj4I33lR8To1eXOqM34wdTr3hwJngU34GMx2wEHfJAgm
Sj70YwpGuK2b3PfKFl7IDY0/cHqIsE3fpVD3KnzUmX1LChw4OCKZP7RF/RoN6fXAHdt4URQFNJ5y
F2A0ODDF6M8CjwVMFZV9OJHKBEoz86YfxqClg/em72R+0efCC/OBR+WmBgN4wQepap+ZIc6DucQ9
CrDdzUkGFFk/sxkomzxG5UHSttNFREZvv21Y0fq8tP2m83JBDvI6Nt6hnfP8uB7zNt2PZgJqko0u
i47nNAJ3IlaePu4r171viY3soWuEi0M9Jf0RKO2G+LGeG7Hp+SQan0vUR0Hq6pz5rGDoSjR0fFeW
Y9n7SjtJfSabZgr6omj1dvImfd7KLBN+0TBjA6wl7/1hmDXyFU6TD60T9nRuW1ZvcZWaJDA4Yq9i
UxZ40w4e9m2bIz+pbetLXfavIHHs8MWUtaoKdOq80kdM5nI7MByB2bB4GF6nVkbxgQRHoTmCE0ZN
kCtj5o2TDTnzvKH8XNVJcSxtZ8y2nWpbh71oHGA+JfKodVmj/QFb0PFi0BeuN4cqQ8InfIh8A+5E
i9oCjDZF4ORIs2X0TCH2IXfyfExztMkTRMAlswdxy2KfW3Sa17PxK1q97mn/KarZm64U2wmz6SzR
9IAXYOyHrjlJTbShWXUo4lNR9DWYDZ1tajMHra0AMjLwTVtMxaFBGT1PJurdwHHeVODl6B6dkzbx
NmBkLhBq6v1qGP0CVNS+Lki9gVf9TOeLAmyXUzAG4/pD4ZH0wiF0WIs42QzWZrkfSwZuQio2VeZd
syTP3ujai3zhuXMlpo2bJuc3gzVwGJQ5yPmc+x2N3xa0j8Msk6k/5NQcNNJkvhDF5OvJA9elqFww
zTPaZm3lXTIGtrSR4VhW8Xam1eD3tTQHpUKl31R0I1naNEGqabWJcFmdoiQVf+rJvCF5kWwSRbpw
iPIaKJPuZwy8IkxlG3RdJK9mNrutxdMWq9GdEJKCkxGpw7jMo8Oeyzeg+k5Nyo1Pm4kcZYnabwu+
ndI832cTEWGjbVjUqguZQNfg5zpwF6Ybk0WvaDxUQT8zsc+ceuvNPb4ZWpV96mbz+Z51eiTCgYbc
B+peMaUFxG67dDyVu3LuIu4o67H3+gTrA8/UyI+LlPh6zku8MWPNX8WVAJZ4c8frLW8yd4qqMflg
0ipC4Mr2ovcLMcSgJ1sBrBNVpM9TUnd6a8bMTnAuE0V9i7Oq95M+m95VtsRX/RQBn7EdhiiQdS4b
Py9mKzZT1Vnij7XtjzIcd3EYG+HZQ4s5KIuyjo77Ke37fX6rTbxbzdLcahm3UzhjMcbeYddOkhwA
L/tNbG3Z+h1i3r6Ks/R1m3qT9PMGyUPbNKCmBmGuSFRXPmnNfh2L7iSP3P4AMfZ+lySAZtqfIBYP
xxyVxyTN4mMapek2JcUYZETHm6IwOiClFn7f0ddzgVs/BXV2IsqIh01Dyo3uWx7gKnGbYoxCWpbk
iHayvcGqKv+wvam2DY1zOKuuKcrQZbgbw7SvdBeIOZlCF83AFoFSC6ebKdBCrMZp9iaZHB6OpyYt
gjwduB/zkWxHLWyAGq/YaG3Kd3Gj53MRCeY7VJwllU2PJ4PZecfKefRVZMqPoBRckDdy3ufVUG1k
NUPkUYgmfdXXnbo2Le+2SZle2LwiRwJB03llihSfIoazs0InEJu1tkVpkLfFDL479AUcx6MnX5Wq
8ELZx+xKRb0XYi9vzyOPgHssjbmKmgTYOiZN9+fEQXv1qievIt6hi6QX+abC+BPLI3yARldsXcUb
45PCnucxS/yEkzAvqinEDQS7g7O+7Lz+WJlGbcRom+0QOxs4skksVn7TTid1yz/EZh63sHPvc3CH
fZZBhFoZPW09Ffc+qSHU1W0Foel4YFmVgp2rQz3Sa4PwsC8a76qhaRn7JcNhHbdHVKabGKcnOcHH
rojeR4ZuVBMfVv3wKcHCN5U+Q32f+1PX8f1x7q6LeMRnWUNvKmb0adbVbIMlsvtq9NRBhdtLrpw7
ihUEdk5k8fWk9XDUC+UuiopMh87x2U/rRPlFkamw790VOIs8KDm97lmu973CiqDJjNoUOEmOWep9
nOPChMWE8FnZ6NPUzlNAM4iIy9KbNlTiap+2dRQ0nYPQh9s5EHXXbco+DzSAnbEh3baq3oCXsF/V
rj2da2w30zxNoWS1C4qRvLEmGk9zjJNDUpDyxMOTAOcDizMzSnyR8dKd89Jsqe6TQ69VeWAG1OZ+
VMrkSGiIonzi5ezGRXm/JR2uP2e9UT6Y72qfdXO1KRwnPi0IPE242aQ0S8NmGCH2zDsyfRy57CE2
HifyXk5dW/u9LdCHhCftu6ZlqPLLJE0/x1FCIL0RmThIO9MKn5PR1aFnu9hsq8YWx9HORtudtc5u
DXd9a8TFrUGnMjfJgbo19P2t0Z9vHYDaROAMjLeOAdSewUkQO38h3nkO/z/auncJ5UHC9kHYhCGL
+HSg9SBNfBtm7T7/JcKS0P2CJeWQr3yYxBQKGlyhb1Ih6NJQYPIgg/gliUnlHpIS6m5QR4AgCtrx
v0VYYk8KxCh0OxEJfU0aepC/BpIPomXI2j5icnfx019JTA9CPsngQsCuAeR+gs9FY1RliRYHMd5o
/sr1zyQrn5p3Ea9pAkrTQfJu23LIS/kzUPR9TMR4dwfm7grMfyA27PJ9sVPpZdMwlnIb28ba14OY
kXlrxrl6xhN5mNv9a1sgsL0/vy7mTHVZJLaacDdf1LgAZz2mKcfga6OC+Iw2bbR/76z8By+zSCA7
wD4dDLjDo6PgmCjw1q1fTUL9+f35ISfwKMa7JO+9BLXUDapTPYktaDN2iiHULd4MKEXiZFJtOYae
nIX1i6mpX39/wSfAvw3m7y1YK1T3crdgn2s5HlVxF3UBc12c3CV9noT/YVbgGzy79oD7b6SSGXR2
R/l2yJwcjsREIxLUmSPxCc/ilJziLuuyoHFNCc4Vyhlu9lEZ9/bg+y+IH+bH/xJgt9X331AWLuNu
4lsIn/omUESFkuLPdUabIfMbM/SF303SO6kGg7NtR6pdiOIZRQroHfymYH780Kjdyb0nQW6mAvIc
A2yBIjyA/PNnyYfkmfd7CsCFVqiAqYOaWogLJic/oGqq/AhijVfrRF/ohlyliXDU8m1Gk+QGwV3F
k9JLsi5YN/1CN1TewOsm5nybt7J/h4eG+WM0y3WaRy00g82HtK5Jw7cQx83zFo1ebzeiriq5UvyF
NiCjwWrKU9AGFYPKxCTEyPymASpt1u3PQh2QdPLKytVeWFaTFOcOWt/ad0Xbes/ozicOj1zUp5xC
HRpGrsK5wsV2Msyz4FZn4AB/X/7dIXzEZC1jQ11BxAueVhRWnpqL/cHiut/mw4STTZPETK9cZkFx
yqpIQdVKhm3bkfYAMmwl2kIKKgefPWmHcR3V5ILHTdU3ER0LFdYkm99CeBq/KqXQb9ft1YLIQzYq
PIDbERJvTLa5s5KeGDZVzfuMKyiDfH+VpxDf/f2eLooV1EaUrFVoczYdesWMXmmDbX7ndD6p7Z+a
nj6cvoqSCcHmiLADd3j0UTqyj2Ku6meMyVPTLxjd9bKSkH8WYZ8DAm1uii3rPFmvlH7B5y6h5ZRP
qQqZ6zPAYILwCoLfKZlXLrDgc6Y93ugRdh9ysk15WGNeDlubynk4XwXvsuAsyQShhDeKULs4eSch
KDwfE9NMz8i/O+mP8Pk2F3Tv9BS6HzgEQTIsctdEr2VRNN072kB69Kj1Yi0voGBPxeG6d1mwWk4W
rjhBX2FYU9YmB1A+GLUfZ8WA1vFZLPg8JlMjIIcsw8yZmh06CBSVn3bMPmeb1RPbtaD0ZFKDigHO
UxNB2naTGkjAnheQjhNHpo2KbAvVwKn8kBeK/tmVZiif2bmnfJ5d39J9luejiSAXM4DezVVeH8VQ
U5Tg2Wca3DrVDilrfagUzH2QxKIu9rNxNhIqvFC9f9OjVnQrN3ihDaZIeFJlXhQW0us2NBkkFKFz
+sxhxDtaPnYaycO35H0LKSDSaCgIz7bazjjqoRAezXN+UGsqp1fGFdXn2mNDccCgJsvPRkpJeUqk
UukHlRHOnxHlCb0kFopDlSmvqyFhYS0jRyH1pm/qcRyadUpbLNRGbqnA05jK0Hr1EJoWs9w3VJnr
VUTjCy+gw1aoNDUsNFB8/8jBlJ455BXrdDbfkeOezmioKVPPkzqExhvI9HVYFbPfJXZyz5yyJ1i2
azS+v4BLmglSMlaF7TRE5FAxa9GnscbAuJjEt2mcri58MovaXNXF7Mg6WPhCf9ChzOEQQXeBUFBK
9+uGuAJSdsxbaS74Qn9AfSBrOmHltms43oqpN5tZVN5mHewLJSEijcq0GefQQVornEuohwhbp8/o
oCcowRfch1bx2BvBNIQpSYqAQMfHJpoqsvJQLagPUU+lcFLNIYG40Ucxfl8a9pzX+pToCzZjUZds
zM0cGjm1p91UIvAFGkjYrjw3CzrHKeQaqZ3mEGq80I3Tj9kmgmJ/uApWtmAzrXtetxnM3kaEQesK
tP84SOquk50t2KxKMqteAqxeS+Igo13viwyaq9bJvqByijyLoH9oDhuc5PtOlyboOZv3vz/7jjaP
2Au24CvUVOJ5xt4QDh6/gbAz6/dZm9Vl2A5SrHyDBWVpL/syzaIhpEDc11AUSLeYVdm6cHzX+XFf
1UENCzqUZjGEFdyQOVSad5t0KleqG7agLG6LPFJz2oXG5ew4yQt5CkX4laIvGAuGOsoyTNsQWr0i
HFhOXCDjMYs33wf3CdKyBWl5ZFzmzZDmqctkPMpa0550UZSvJNWCspAf9Xrcpe0+FOEH94YOSOWv
uFUiXndu6IK1GU76xvRkBJewm6E5j3+c9FQ+c/Cf2Jtd5+39Y8NTL4PaX9RvmzzGPnUd8Rutu5Wi
L0hL65SRKFU97Lz30RLw70o9Rutghd6kB6Jn9Ww9z4kvojMC/R28F2tFX7KVq6hTMe63Goq2PtnN
7tZvzA6Oe55Phvo6yh3MPqY6DjqVddBmQNKV275ga8y4quDeFczOyE2TsHzfJGZlZosu2JrBN5ap
xMDkeu6KMJfaQuQlxnW+wa6Icn9jxpbKKJ+yfsvbaPBH3BMf11G7zkTdNkrf2/YirklZUdRty34u
/SFObrp0xut2nSx46mbb1lU8dNsii5kvGP/o9Y6snHzBUxRxS6fYa7eyQeXGjcml62a3cvIFTRto
UUvLpOu2qdCxL9IEmmEskStnX/BU0tQziadBdN3hUwflkfNImnxdiYoseDp2jJQMZg5nDN+X588l
dKNvvNZTbt2ZIQuqkmbURVcbaHZjRWl9j9Y8rAfSXq0yTmTBVZxExFZjAZY1cvkRNILhjcvSabtu
dvKQTp2Namom3oWtpn/ilFw4Ri/WTb1kqpvSYpq8Nkxi7wzU48eJyJW5wt2tk/taQCdJIXEp2zAd
YrXpYv62yqJqHaB4wdMyc57VqutCL2kT6HGRJ5I0aN1h3120vC85lIWH2o3K25b5eJ1M+D3hxfGq
DccLlipofffAXk8hTOtafyYuFv7kqFmnevGCp73hXZwx24Zw1x19YC3oAR/uY+B1ngZeELVrcoLy
qOrCorLzphrlpzipo5XbviBppJJG9ontQj5Ba1hR1CB69lzldTfJI8HBrhngPqa6FCypvaIN4cqS
PlXO4NPci+r362BdUJS0BPqcbALHMY5iaEkZPkiVrIR0wdGZVTqN4qwLLe+pD72EH/NGna+Te8FR
NrBxSKDtJ/RS95Z10yln7nTV1GjB0GqIItNS025R5HmBl0YnyYxW5geWl6GgYbSWs0e8LXwp3Kti
kh8VtCKvUy1oQVEvBj/dVrAneVxeVKbaj4p4nSZHC3ayepjoCAn8bTX3B3Ygx4yvs6BoQcx64q2o
aojtRGFOVDWGpY3WlVnRgpZJ3o5x14HQdfHH3HdBKt+tOyELSuY6tfWcAYgszj7ZUV+oWazTU2jB
x67ps3EaRBtOLsVv56klYdpRt1kn+IKRtIzG3YWqNnQetBKQMjvQkf6wbu4FI7M8cRy+68rb8gS8
Ww+JS6ahtXvN5PA9AQ+VIBzspskRmOQ4EaMPdwM8aAWV/SriwJc/PZxduV62jPfethFvbLVRkMVe
J/aCkbGJG9bEUxt2Cpo5BupqHzfi7brJF5wcoN41TWXktjiuD4YcavvQzNmuOilwLfXhltiuQ5kH
TcNblfNz2tVXCZvsyl1Z8BLupUyogUsOW1vQcw5zj12/du4FNfGQSEpHDGljQtFJp0x61LBRrNyV
BTtjB/eCwJ+Fg8JnAZdt0j9yEa9ysJhecHPUHRsyDcwf6dSmAWKRqDYEPKBklWphekHQeihYBLWa
NjSsvvSG/j0UH/5YdRSXzVo9pcgKCvvSdYZvmi5LfArfP7vKj4CE0OIsxr2EfPQIgo/jeVeho7GH
K0XrJF8wNC0k3HuJqQtVRk9zaDjcwlUCsm7Hl/1VnbHQc9n1LVwezS+YlwepjVc5KUwt+cm9cjK0
cCEhnARwAwvuBLH087pNWRB0goqCgztgDroZxEfjxqNE8jfrpl7wc7RtlCni2XDC+eDnlWz2yyJd
14bBlo1VFR9K3UOvUAglpHlTztWZpO65HoPd2//dEWdqQdCuJi6L8WDDCnptct911jv2ejS9Xrcz
C3oOHgWtyDpAtJ+uHXhwo1OfVk297KZqwfDEtahcmAnzeqzrQ1QU687hspEKLjhnIs2ZDee+ibf9
YMjGy8urdXIvyJnMcOHZjpkLdVwHGVzzKtRzbueOJ4+AuWyZGjzIB8N9KRvGRc8730qRnjaiHv0h
Jd0UrJN/QVKewXW+rOI2zBP6J1zyeO/V2dt1Uy8oOkLHYy5kZIH/vTvoncXwtQBsXakOvm3xocY1
JOaJpQQEZ/h90cOFAObV79ZJvrShY1NnFsUu5CRh8AUUtJuYX6o8zjbrFljwlMXGqE7lcCRH7yIp
yNukWReLM7ngaJ7wBgJmmDqa9EWLklcRFavKUPCdIw+3PFdTVDT9ZEMaFST0FGkvsBmSVZ2+bNkf
RWSPeJ/ASYzQPPmTbULKVnanMbGgKdz/8trRxTYse7hoh3q53wxw528VmsteqNayrmMathzUI1yT
I8c5H9dxSCzoCV+ykXf/w9mXLFmKA1t+EWaAhIS2cIe4MeUQOW+wzKwqgQZmIcTX94myXlTyql52
s62BSwi5y911BjXI8cpBGSv4Fh7E2By7N6N7pJPALoGOhB6vCbRMSDI8jvF88L130Qmm9VwxHw3X
ieWfm2R8Z/RwqImjbBec1Uqtlr0arwwrUwiA0Ish2PxYPtyjkWaihkh1YsC9TT2UY6rfuUh8PLZP
dqEJsm4d2iwerrIhIIh7DCrOLo7YsYXZQ5GUEkClqYC4EcGWuWPsPfjJ27EvuociLSpjFbB2w3UT
r8olE33GSXrs9pzuYUguavMuWztsl07QWCPXBj3VYJkv+tAMBzf8v+YuYIFjIdcWay9rz8sWw7Nr
VdHh2D0C3cONgnYuH23VX/MIpPJy8b39ywnuDzaNGf31/RObxtSLqL+OdQCfVTIQJac6O9YF7AFH
nK9rHi9xf3UQEiihqzOW8O04mB+zXcTOBgi8ibT9daJczkUC8vB3HdZWHsu/2e40XZuRjX7F2nS1
6opmth9Xkxw787JdzJq08zbiDuve5v1dmGJwlE1X3x3KCHu8ETQCSOiN76+qyrbPcVfJO3gP9PrY
wuwBRwR5MksDPqtoq2G6cJcTWmRVB3GHY++/O1ZxGae7tl+w8mTyt3HMP9aDOTabp3vIEdc2BcYY
ig2czi+NnN55Pb8ce+/dsSqr4IkxcrjyVnxrO58UNYikBxdlF6oDRuZ55Gx/JaPKv3FcKtw5bZeD
W2Z3ss5xtIaNZN0VkSoKBuhLEYWIn48tTPprmhlDhDt6g6dnS3BFlvT3uv0diunvEvRfGpo9zGho
VsDr8rSDBIeWFTRFWoVkw5v1VXJNSH1n++BfnJ3MjUwkYte5rofsAyhufHiL+d80vghu2Z3GvWR3
p3RLWcFNg2G8XIc89hCJU8P40Q9p5Mo4DK3+3tU1xMoYCsv0lGSYtZ9571Z3MgmmZND8SOf15oYo
V9eUrzW9VZ3yAUoumCZ8gaiYCpeEqImDs73imd4083aRg6gnsO3SzV1smq5QG1ksab+tnNLq7UxZ
pH5MSTYM13xLxXIdV/y9p37esrOKoaZRtjyFGg0LXLo7mYAL/wj5MvDC4mFLX6AZBJmMlI23vpnG
7Rp3Ig8Xb81CT8tIZXZeuKcYYZt6oaU0ve1QzwoRynxsCC9sB/L9g28rJW6GJDO9blhtX2ZEL7dt
i+zz2C4xPVGQ5MFrr8ZqezGJ6vixKoTuEiYU1xzTjkB1K6s7TH2iIpVEHAutPdILGl8BhSQEAmpm
/6yofql4c+y99zivBTcxq0nx3pBVu07C3FdZcmw4+Cpi9c/r0WwBMiXBBOkKL5O1qCKICAmTdAfX
ZFfZjLEkTOPS7ipTpcCKH/5iajxW9JFdnlSgty4tj7urC65/BhusuevIbI+lMrJLlDVrYtembLrK
UdNHivoVyH83fz2Uyl51Mf+56qOVy7L0S3eFsID7NObDhmF+m/9fiYD/T7YW3aO8hraBZNwmuqvA
UBm6Buqx3uQxphndg7xihHBG8767hq6v7KmD3NR1HeLmYJezh3klbZNsEcGOZNC6XM/p1Lqt4FGm
h9Ohxd9DvWY7+Cqq5+6Ki6q/fE/vs2g6xuiAOtmvH7Z3flyGwLtrHQvgyOaJrwbakCr969i778J1
yYaNQL6yvxqIuOQF7waCO/Y8hYLKsR/YRazvW5PEq0SBAJdS6G5C7aNpmoMFwh7v1XNfqU3iCMcd
zVgCUcbKPvLx9di772LWx6BKZ03bgVVrzD0jSzYXbBjZMXw/3aO9JgUpzKrrkIZbx+/rlsTf0NOG
Y6PgdFfe8NUOm51Qr2KUtd4qWrkrj2d+cNPv+pCUGCea19NJNRZKrR7SOW629uCu2R2syZisbkWf
fI1CS/6sgTb/c7POHkN+0j3oCwK4ULlUur9C/XeJblq0SRlX3me/uTv8D14d3QO/wG2tKmby9rqZ
hIwfet0sXVnxFpplfuqiDyCcQbFNGHVCFadFKQWa0UsdZVl37Ovv8WEgBbPYKdSfPgx1XkKzGAIU
tm57c6yN3gPEWEw29Cyvmamak+rBNhK8szCEOT42ndpDxLbYjaDXpu2VkKTREGFWnhZK0+VggZXs
wptNmx3bFD8QXArY8uY+A73/81Dq2KPEIFMVZuEg7duP7VSukvy1zdnRF99Fthy2ZJo0t1fUtheT
6vs0nY6NAP6mUP4TEx1FsfRQELnOdJlKHVFcNfjt/bFF2UX1DDFdmUBZ+1q5MT+7+lUuKWsOHpV7
nJjnMGpu8UWvzbhGP6zy5OcY4bg59O57oNikaNvRFsLDqLWe+bI9mEH+Rsvldb/9S6u4x4nJFfeM
bOygyram9X1ixryA6bQ/dojtoWJesyZfNLFXovNOFtAzHe5r7tr6WJjuAWNUrB1hbWyvPGtVOYj8
TtMkHDsH9pCxsW+lrETTXgXU8R6n0dKSz2p5979/09fK/t8Wflc1C6/D4qHFeDUbHVDyx5MUZxMn
EDJm6OraYzXWHkOWB1bljMjuGjsooUFCb1avoRWL7thZvFert1EzDYtosDez9MXN8XuIjR7c9ruQ
hZLFnMcj3h3TtQxSdxjlby5pD31eeCr+Wt222IyRBirwnPCxer+EqH9p6+wYmwmqWr8+3TRt4qBB
b15zcP6utyS7zk2WH1p0InaVc4/pQlzZ1uAyHFOJbsjfRVQ2BxdmVzW7MLfBhcYAIQAJpxLkw+Hr
ZgTELf/3nf/vKYfs4WQQpKmqfh7NdRv5D8yOniyvPx979OtP/uMEoUuM22owBEFa7Soook5u+dOT
4Zj0BmwHf318g/atravXZe/zCgPHKb9ZBvXIYy+f/vr0LlVu3Ua8PFT8MHZK0r6ApMqxE4rsIWWC
bTxkE+ZviZ+TcGob4BFK1bZqOTR8gerFr6+fL77qUdmaa1JD1jaXcfy2A5/v/aHF2aPKAmsw4fJD
dJKJXLt7BQuNZ1hGZO43b//3pOV/5mOyB5bBqzhdGXPYOsxl9s2QJK27a/QyjBc0Yi69QEuPTach
M2v3GAV0BY89V4P9miaEXhxLtxunUcigKwtrCQwdI63f2BaSpaWFeHNTbrKuth9dFRp3aXucuaXL
1PqTWEofll7N96Gp4UNROY9HQAOjLmLb0O1DnYDf8k6/6lR8aJu8hxK343TDvx19WcdAfj6rvo62
E/7rqXkiadUthwpJku/SDHCNUHcFIfksq0Q9L0KLxxQ6k8cOWLKHxHWRzjpMR/U1XeM/WTq8E4l8
e2y7vJ66/0gE6DWDjZjXV7IBZ2tSeku76XdCGq+J8N+2yi7LOBdZuU2rvg49tDpuI4R5/UkEoB5O
Hh2CvMFO2dSHpmvQ6/v1L0kGCOnTJdPXqI/YmWpvLltv5Mdj67TLOXWoHHpEoq9LR+HuUW2fZ5X+
bp1eF/vf1mnXpiexbJwenb4y45oXoKrpG5iwrN9XlUS/mWz+10/skg48JrhM+0Gfp5VodqrnYRwa
SKRi2H5rPBhtv2mq/+OT71FzgCdIB9VeeZbNrPXFZWsCdFhkzo3d8rQEovvYVAlq1b9+b1ljdlKN
BovWphGAbuwzEtHBA4zvAjqC4AgGAa2+JriOg0j+ZSbJbxL0f3yJPYiOE2A5N3BwT1oOfL4JM2WX
Lhe492dyMfEhdAHhr7/+j7jO8GzWNDyCTAeEBMF1l1/EwI9RW8mr6fM/nz4FMTRNGNWV82y+AHOd
F1WdHGtWyB5ItzQYRRKX1NcGdhmXfgn2lIvmUB9H+C6QY9YnxnBTnZKluY8rWAZ07OCa78I4kNjA
oQWP3jZ6rsRwsU16PZR+9hi6ANW1ZhIaTkpN+sAzuCWxY1M8ssfQAVb4KoQLCexe+eFeTdMMfx3y
cui99xC6KuP1EkiEzZ7I6dz3Iy2CMPRy7Om7KI2FHqssjporb6b+AajXz4MMx8RhyR5DJxmX0ZK6
5mpCai5OzO1dPJhjUFSyh9FFYcV9ih2bK0Sph1Nf548RH6fzsXXZheeqYuh4k07AsYE26yVN/cd+
1PrYUBEGb79Gf92JeTC0FZAHH5616a5q7I4d4nsoXajXVVqJQsrMrila18JHyWS/ybyvf/6/HLN7
JN0CdP4Ghh+CaFrg+iLGsmdQFD625rsDdoNIz7TMfQPWkg1lK/tuKKqxFccAaRCk/nXRBbTbKdeZ
ANGq29IiN9X40K26OcaDJHs0nYNJQcsHIk7Wb7izfQcUwG9W5u9R7b+s+x5LR9mWQJxK1tckRGR5
iBubgWAkIRwKtyxcHzSZgJkQHxb4YTBM13w5zDpbIMfZs3AZnIiHM/TmZfrd8ixdrlVOGn5oAg/H
pF+XdY2GBLob82u7NM7y1pA4d+d60lN7OrQv9jC8tmlmlic1P61jzZCggnJtWcNdlhzrPfY4vHHW
bluq3p1dV/dnm1N/6gU9NGmG09Svy4OSLSM9se6cvOp+eXgmlZbyQ/jqv02s/llF9HyhUzXj4YuD
drOZ6FB0sBT8zbb7j2jfY/Bo7cCGd607pyqBrZ5OFKwGzI9jX3UX7Z2GLWFMqvm8pLUt8igCgWul
8bFzbQ/Cg8Ghhk0Jmc8dkDUFDPfks+Fk/nTo3fcYPOr7niRsmM+RwK0H1Zs8NyE7tjB0dyQ38LLq
cBE7n6FRmb5t7ap/sHjjx8qgPQBvy2o/zG6ZYFvBTAnlaijC0OqY6gmhu5rZiJlsJM+mc8PX8ZJV
M/TFI33sjp3s1b6IT8lm9Dydibc1EFfzB9Crf2cc+h+bfS/25fwAySwepnPgyVboWI8ljK8+HNsw
6a9JINOORWTAqm8wU4LbGOzNxvoYlxC2sL8+PNp6O1SGuLMEe+YkfA0vzRRUzmOvvovTDTSIqllQ
WPE+/TFZ8mLr9Bi9muyhX7XFSLnrKTxx4hH2R31anasKMLr//c3/o03co79MAitH3ZH8wiqTLW9r
Zxt7CSw144WOPU7B//1n/mPj7JFg1UIqmij8EfBwjk5LmsmyXd0xJNirF+EvfWJfV3yeGZ4uZduc
csDAYCcT/jj26rtw1QrpAHjG8dyvfSgbO6gT7HeOHXx7JJjoKXzWsmw8L9otF1vnaQEB4+3YybdH
ggWLdgO2f+N5rjdzSSb9cUtUdvCT7sIVTj906zDrOfd5zUtrVhgyNeMx2D9u9X/9pC0PfOZ51Z8j
G42l2vq2IH04ptwEBvSvT68oNWOiWH9u5qEut8yaModM/unQjtljwFwSMHIeZX5Rqt0+bHCn/aTi
9ne69f8RSnsUWEW8TxzAyudsTMBHeS04+jT53Yzwv56+O1jhcINxNYygLjTC6HyJfnam/XBsWXZR
qpM0qeCfwS/Q+apMsWxAJ871On059vhdnCYG5oNbPIpL1tsWAFy1svqRJabNj8XqXu6rn3KHKr4X
FzElhRLpvYkPVmJ78BeEuOAZluLRluL4e8VDtMcAiWSP/IIZRFPVfBCX7VX6SPuElrTOfXFs0Xdh
qmJTz1voKMwUq7t27N/G7JiaINkrfcHXEWWStfTEAH+AX/EjbZt3h976f0C+ICNUj6Slp5Q5m1xp
b8C7rr11H489fzczbvtkUMZ1/EI7eGgDnT9RmHTa/Hd6gq/B+C+d7h7P1US6p7mv2MX20XQ3V8ti
nycew+kTPFVe3aTdfP00b9X/Q3P9d6v6bz+6C18eUvi6qsGgbV19u5aJgTF7f9YaUWcudbXCW3Po
LOxqipYMONtXFcaW3zoD8017QWOttC3Mppdwq6sQVd8J8YDdtTEgrRq2h2HzsIyPx3541CzJ+6dl
qnzCbmsEu1VdwN9VRk0RE9EQCctU3qMQ6hg+XZGJoZPf+7G2LoHPHm/sjWwacs+wjusTLuGEvvix
1IGo9QUScn5pikzD4gdubaFZ4UWXCBfBs1AESMPru6TXDNL3FjPL2RbgFRiHF5w43BP71KKRUVzl
f9ne4h+PbqDLiQHuSwqHFdLlsvi0uW7BrQwOtjGZ2u8dhrbcFesI22ZfZDmT9de2oVr8tNLB6AdE
zq0bLXwNGxW+vIL07vrNBrhqQzRqKr1vpkSfOIiT1XnDlQ0s5tNqncoqx06D4TrzIbOndNmy+CHJ
FyYuTeY2C17Y0IU7uAS0JWf9wp5U7Jr8FDfEk7LmbEAVltv8lFsI4BbrINnQAr+pulqeZoF+n5eY
kKyyw5sN7cgLeC1y8EaW5lpRjrIRuYRZd4+v1dVNMcJSEacGjBftydk2/TbMlp182Fb+0zVbIJd+
7DL9vI1pzmAVmXL+TOaKkMetqnMnT2YDR4VeBJzioYiwMe7MExgaOb5X3zQ9Xk7Gm5DuEkPVGNWY
jbtN3wVGVv9jyG0Dz+EOJqj1jYOBJD4kK1+nUJqWwklM5tGrDKRxpvURWCwbQFtQ0OFuceeAb9l1
tzTDIC29Md3mdaGZFhfYIrZlx1ZvR0xTAhzPXyvLZXqI3aTPfkSOemaddOrDuqayzbEdutRdFMkm
eNDLmqZQiYVJ8gl9TZ1/zWfSdg9i3dD41Vns1rHw/YxhfiHyjKevlpYzIaQUGZzp3yU6h2E8BFb0
+tCmcOulRTxDW23DNfO8SHC34jCxGUhOBpG12LgfqYnAmRkXTvsXntkkP8E+PlM/0PvkBkFjaQd3
XJV107N2sWQfAM8a7EUFDpqQ6OIuu9+yKNWPSe319kfTms6BMTNGHX0eELT1ue3rkN56m6jhcx3Z
PE6R3rRkWcEtFf1zPM8aRpoKjvOhqKSAHSRcUZfsPh4b2n1RnoWshOZ9DDa69CQRkHbOmPlZzV5q
CWN5nf/ICBv6z2CXb3WJ2yWcXeB5dOEJqL4px//cRfRnp8Zlu8H3N4QPeouTpOxrRNJPRbHN76RO
t+dZxPISp0Ou3uSj4+wc501fvx90vW5vPQgeaYSbaOgG5KdXJWJ2m/zctn9p3NzUDwqez+HadcpU
1wHO5eODGwRPS0UJTb/mLKXij8Tr6hkU8gjuqsn2E9QWW8AXVZ4kBIKi09psub+Hh8Sy3UE8iHwx
oqHiBFdpnr/joTbtcyKrJrn5rnFwBR1qtd6JMMbsytmq488xq3T1Ho6qsi/7MEfQRFSxmECisQxG
fss2ZePTFG9zfCM9681HGHdU3RuXCV5f4lp3/DSvakHu9Fk+1hfgp5PxaRAL+2mgCdCWFUaG/k29
xiNSSd2t/syybob1cYzbquVBKwgcXyrpetBrIr7ID3U+CXqzfd+zYq6ikf2oa6H6UraThol43iZV
DKMjStbbZODODnvrNI5O89SmSdGazfdfySzwBqcslgnkDFe8RRPJaYTfejS15/ZVkqeAoN2mn2G6
WdNz1o/+WxoHz2CvJuHxWMIKgj2hXJJ/VghhXipTp7Zk1mfd5zDAnxECR9ZC8qwgetuam5/Bkv0Q
4E83VkU9zHxFvt96D09WNeOY9rDz1jA39W4h2SdYcIw4EDTUasR7g6e8fsh+duMZJo646Ty3PrVZ
Ae5nm12NSIQ+L4skJhQymfPtwa+TxNRihY2VuIurgBoRTLa6vk1wWYsKeN020QvL9JieaspcdJri
JREnDvNo9WmMN6Lulnnz4upsF1WnwadVeCQwy3kbJ5NqXjA5SoMuGmNmcYFqvJzvhUYH8xwwEssv
cJnFeTdXVTYA503r9dHKWOkSJrvJDB/fkUfgLYxT1Xiw57YpeT/H2oKM0dJ5ftusMXyMO1wZq+cO
SnfNUCyBwkAHuuIFTLFFckuImOY32TRE7fe0WXPzyAyZsMfa2pr6D2LyDTvBQrJtOncyb5YL/rJV
neEATqePTC91dT/JRpEbSLTMPLkxhcHXGenIMFjZR6T6c4NUMjTNp1pld1PXSAlsMxhY2CM5dJTu
awU/87teWQLMcAoMcXyeergeFssc2vQFv5l/WpJ6Xr8ZiMaDky7SuqPlAPlFWUbIT1W5Vv36olI2
k7tc9OC6ZG0LsKpdxjwqQ+9mWMqNsBcHgWThSYkLhbx+i9fNsjerD/BmjdqU4uaoqXTkPli7de09
oLv1hqoIPsc/cWpMrYZGahwn715vakhckhqWx09bLKidkIm3UN1yhU8PoVkGd7NHj4Q8vIH7xTTe
4rkW8x3srUX2enKvNTQBJJZxmopZIMpj6NXJzclyaHwI74hYjSjgmpazC6ew/cVsjng1vonnJB++
b+PUU1WYeVmzW6AkXp8pdn/9RU0rLGjwR5KueqMxDvPvc41FvN9SNa6nlrhsvsP5H/USi5va5ew3
zr1E8TR3Gz7mKJfL4nVkP/IkzPbtgjVb7gcFWOgbtTQ1HN1V3U1f1p6n2Veb8pBbOHhDqLrHShEj
/2ihmRq/hWo9Fd87KK/ob4MZdIr+CoKIpIQxuOJ3ls9TQP1WxznriiFyAUehWXF8oNqDZCyLsoXD
9Z2g2gFGj0c/oCofaBnjUFe3zQ36A3fY32cde8PKZt0wc7W8pZ+zFLiIkoS8UiV6UcrhiNhxd00N
z9hSkDW2w3NfDzUoxwnkOy+9UKZ7Irb3kSkYGFjfVTfM6yVLGrq8SdoYVrwb7lnFB5q3vr4sBk45
b4e0Jl/yCS4vp4lWGAXkTTSz5wB7cX6JR+XTN7h/Iu17o/m0PSSqHTokTIrYACweQLX8qiGiOj5V
1oh+LXNK5dsA5EtUrqyxy/tp8wMI0eC9pr6EjGGlSy6Spn+jJ8yYYLAuzXAmAbxacwFFLTnnFWzB
T2NcpfgSTW2SJ+r6VydXNr0WPzmglbUsRb5k6cm6IU5cobc1fFa5gWpSsVmwFj/0ILeRT3Ji3ePY
OlRcZS1VVCYKqnChRHZfCu4ZmT+nDrIHd5L5Huc9X2OU6QQE3n4uAqHRfGvwCvE717UzL9OMDScd
atde9YpQ/5rFo18uKdcmgTPJCMmzhDYkPxEDeHAxkWS7CBxGfi7GrFLTswN0SrSlZZabRz1V4U0e
Xg1Qt3EjD1Oe6/icw8FmxTGKkuM0bhRp35slkjfN2mz+4GADvrxvR5eUuCMZ0m/BVH4pK1/TO5Rr
cM3UYNF0mLQX46rqu3ruIaxBwavGYUvKbZtFX3QwQ2KneYzTO4l64LO3nDxISCnZggk1TGWdpAxe
0FufFl1HFbvPvQx/wKnbqacUoWOvm5o28TRE6fg29pB4RQtE5kfJ8nRD7ZTQ8e0S9YDtzisvGWjk
T7jPAVm755ZAjRw05Kcw5unHzkfyrFPFdGHtOj8s2og30kNB/6Sxjctsdb5M4Vh9RykVj47JcC+T
1XwLclEvgpixbGL2zmSj/Zgp0YpCxv0E2IkzWg/FGjfCT7Afl3W4BFjVhTu2pPITS9b+flYhFyds
Z1bazW3rpR1Vdh8AX6QffZTzF2k8UAundG55dFdZvnhYdWPn5qDJhzr+o5mrMH/MMsZCsTR2zQHl
TBYfTs2rHsDNhHWDbAqsskMPZ91hmFL0MQ3p1EmyJYnul4SCjQ1aqY/vxzqpxPMUrdN8WcDzjz9t
zKSsFIEu84OjfSa/oXK1wzmb0yi965u+oY9qXQzMXiVMyguf9GP+iTjTx28G4kh/hkxDaCFJMDE4
sUeLMF+jGl7CqswCPMFP8aTquXBZg1JUzI435WhQo/iiIhEh8GrPgmt+rnlGhsdl7ZbtB0ypPMqh
es4z7G6D2Mr6QoEwpM5Q0anS65ibRr1bE/T+566lxF5mjrxzQkcj+W14hd+dB25T8gakGpU9AD9L
klMi1kzcEtCm1r8agLHtGzfBaT0ug5BLfT8NE4lZAUGRHNejm0pNeIfWmKfoggHZ3B6myUzIC3XL
ffLUW4Tki0az6r/qTIsb7XBFRibr+ddkIjr6ZnHBijZ57TI4LmIIXZfYHSiWisotyO7T6NbTYuWY
f2bg9M+fco/c/mWaBpGqU8aHCOdV1WbR8sL8plZZRGnKSTHP1WhLURGTPk9bvoa/KOj+5o+xAZvt
nCvYFr4Ppl4FBAeybnwLj+dMr+d2gbrrVTRR2r1liDJkxJiMQ470VK8cw8K6Ba35TpG49ndE1zq2
J7qNKAEKwxiTkIHv0H+g4lNDGZb+tRaBjcvs36l5HKW/Ci31+MlMUbdcOhXN4jZNwmX4Ypvw42lI
zbp80yIDF4nVWkzfZq+H5dLL2Eal0C55aAZZsXLARfj8GJSiEp+ENyADTpiyl2O/DChKBwY5mU9u
g0ouCNJD9djJdLj6as3fDyQNM6qDbNv6N8EYU4zwBi1ACpOOwF8sV90l+DwLpYSdqrttZEKDVgvH
i2n2XdQXs5v99I4nntd/LbA2yc+bjuP6xPzruVrICR4TdxXK7McG0lzYdSSx5L5S8Gd96GXoPosc
i3Ai80wTU8QNIA+fJrOpCFVqiKPrumFfX1EHJPx+xhGgvntPmitagER87SBxzusyEzJu3vdLVteQ
hE4sa1yBTZaRMkdWDejmIhDnNl4nzXOufLyVIwL+o04yezZVw1qEWuXuuxgTjCfMK0j2Nm9Xpu/9
MoofmMR8QekxpwyWKgwQ8A4eMen7NpXVN+hZqOYkLZJio0b9NM8xKrMNAiP+Znhel/0WYDgCWkd8
1/CRmKdhJpN5Gis3Pbi+79R3GETPf0aDnqbT6iJ8RrryT9rR18sdneNsX6n/xFBLzCe5DajVgWua
18J4bi8gKwtWqN5L1Aa4qlxgdpevmNciE06Y78zq2YNlAgfG/HXSA+L3+EmjGCvSDAj0G0bpYnok
Qz5EbwkHiA+gIN7K5bYwKWeDj+JCPIHRXanmvMYkV/yscta8kwO84c8J2CvDX+uS6qWMakyuvkGr
AW64Y5ZP9NzWaUixNZv0ZWzQj1xDq6YiVUigfbG4ES52MnX1zzyzU/qJeFcvZbBTgm6HU7OshVpy
E31tmqT6kb+WJnf5Cpb5x8D6P2dtZopyVwwJillLtbsT8ATJS8FG+2eXIWSLHJYdJWxBYno2guZ/
D/802bAIIT9D37KiaGVgqn5ZU+75l15GAvzjRlSYDEbCQhlp6iFRcEJRYv19xrrupzErSZDnaK3a
T1BqE6pMx9qTOzXT8AdaZ7k9jCat/rS12UQG/++wpI+29nT4GFUxy/5MYJmR/YHWssZkRMnsUXSj
Ru6I61CmMhn821FUvAevA3dLVDIZv20ixjDNRukRP2QegqIXsYwsPa3zFpPzwpZpKYx16ws0kRP6
uR/F8i6K6PQ5r3jyEdiPebt2FUhAd1GHxng1dl3OjOYQ9N3U0n/GmuuHNtGAtTEFA25onNDu1tVC
DGXWt9YXfVTpL2DqrsWQgbzV99Szh/9D3Zf1SG5ja/6Vhp+vfClxk4DrBkZSrLlvtb0IWZVZ1C6K
1ELq198v3L4Du9DunjEwDwP7oTIjQxGhkMhzvu0Yp4N7KVZ3I5KtjPdDgeiFXcu9O4wYK3EIdUtO
DDOZseb11H4oE8X9nVYD3MPLgryflI9zMT2tMyJevyBABM2Z9SsrPwEapjIVi8d5iNa6xrKQ0JAO
qDgk/McxmV5KJ1AkUkAJSqHKqHmAeFi5BbmBDJ7veKyAm6wYr445JdJs1SHSRH9A/HrdPEbxABO4
wwSGxwpvJKXVEuo5w7LtpzU1wMbonW5KyTKq8XZehqFYh309FnWZRUzq9etF63oa+rbrrpyUW4vX
aAL72IRsbe+okisKNl/RfRzrYDhCQinXB0DR/Q7LRN/vDee1zaNyaUPI5TAYdjesBIsI8jHO+C4A
RxSaDxrt9grR8uL99GiDsl6yns9hew6CpdsOiB/b3gKOsUlpi9GQV2obHG6fIsbpaFayaxI2Z+M4
rWc6hCg4y6q/8rrkj1Avj3AIIN8ROAeCGiiTxadgg5x8H8Mh41+AM7kFG5El4dsUGxVJzMBpNsAD
tp11f+rBUFRfym20XYZvCob3uClRmWPFbJcuK8dCI78c4UXJDSLSYpklq9DzyQ1sjA8SM8AxGrVY
RFylAUfs4X5N6OUmDOpFKUxXHNExYfFp8nqzyXqaYMpI0mhwU4vbGHzX+4y9szhpMxGVL0jUJlBi
dhELPwwMFVq+rIkpM8kWAa/PJHzzoRKIqckJ8uarTy0ADZZ2/VyWL8RtWD1UEIjwLGTY8axLojbK
B6BhSzb0C6CtFCYop/Ia5kJyx/Ro4gcMBKmW1CMFWu9mX/Ah9dHGUMEkOpy+BQZTFVIOq0fygFk2
izyUXq/ym8CHWj9aFKjimtuwlRlrZRPdt2olCE3WaArKynbdo4eBv9lHtSWdTznM9gsAzLLfFBr1
CZADLmqHohAz2osRg7UTW9yUA6m2U8iI628SDZw2FZquyEvXpXknnFblbbQVPXRJBWn64xwvQXQP
36QUuKcM3VbwP73Xe8xvXM0eSjfdZWBV+Py1XzsbYEDiNsWnoAWc8om03eUbEmh88tAkuoYZFQ1Y
dzsDP2wy+CsmO6fIYgmjKyIijuaST0F/rKCzWL6ukU9sXghRTIcV6/WaG651s2spjcc8wkSaqUlH
0/lyj26wTa4Khvg1iC/by3gwTEsb8rqsEncuJiLjDD4RlfAcSQwEN1RVdOCzQYUO6iwWRzfULJNm
R4AEA9j6EbVdChw2bFIYRrc6H3EZtHvm5nB8lxVv2gC9Q8gminm3CDH5rpuuhZ+rAUM2YTPtUCey
LGhNchCRjrw7NWFM4w/IjO6m6xWtvdP44BWrGWoQR4c7LqvWfQzwaZIgLcOJDvP+kmaNhnSJt4Xd
zpcO+qoIhsah+IJeFgFTvlDqznehRbNiZipwg7MGmJXMwLVwdKvEdkn/rfLorqHt87Ij72ZaghHF
gORomIYJ3sYF02oGc7bJMMd3HIuHQqkY19tbU4KN+FLX69DsmWJ9sOLsatpjFrMw1QNDuY97OUok
43uN0mh8LzXja5xOYYK05lWyOX4Ogc9VGP8C/H/6mhg2Nx90MA/B/aBA+Dwsl0YViQU+bqNMLiNy
jWGb06Y9lR14L1wkTNO9kWh8xA5zFOfxCg5AxddsA4c0oNOtjKxkTriY4qtVg0m6RnUdi2uURcw+
9W3dmLNUdB1OwYzB7F8oIQXJxKVm289DF8xpK6M1uB4I0qkegtnOFdY4xNBnCSrjfufnLja3lZ1g
dOk4kcvz1kLSmMXEguSpaNsjYsaoYPoWC6uLZ7paLP495hvUy3YONozvRsmKXMP2tGpFPeopjLjO
Qumm+eiHPqFHA5R9PbSN2MgHoIqcn6sGTGCmSQcBwA5+YmLiHNfmBmzrgqgF+9FE0ZxR0dVBinvu
RmjrGbhGjniMPQkhrR73VRCC7xE9KB6fthixFqd+dJrnppScHSc3J9tRMxeQHpFu0TonwPQUZqUN
cxLW1zw01n7gFqnq71KxubtGYVvJfcvLOXlaV1AzeaviWsGdCEHafdX3rbgqVNs3T2uME3Plo7ix
ZzJjpM7NgvcaYaK53/h9PctOnV1tkuYFjV5VLBmZUS2PeT3EHWBrhoy2imQzbmYdZMj+EF7n4AFl
nOwbyAEvEcbyMxIMiQ2zJEEAZrfrQAXZ+YQCzODETrLW5h77dA/gGWIcUGmo3RL/RHHaYa5KeNls
L2BPCrdfcCfvk22T12iiRXAVBUWCwk4QpNdFFxovjg6kFkIfmlqO/HprBzivw8gP0+e1mhOEVjQz
okP2k9LOl2m4Ci7BcUYQXZHRxksmAGzYL92CyPr7AbELNtpfol5DYBqOY7h7bLZkqbOkW9cm9525
TJSbrLjlpmD9icHJux7HXs80V4vX/XVkkVMDiJSAbx28kfO+AogfpoENw2APjnKq8jZWCdpOPVqN
Col2FX11ElPkr4pN1e4RkQxsAvZeFmZ7oz2n6qtuBtKeCIXV8USA+o43SA0w03OLSGrUNj1n7jpk
gfXf/chrfe29CiwAPhfF2ZagHEmBL8/gViprIfYbJ3Yzk86u2eQxOPRk8BbqfN6iqMmgjRfgzBm7
yGuXeJ9A2XzbLpgM/ELWRtkbM21hf5YYe7ddvm1ZwOuQTB6T4a1k9VfAfAHNax4H2iKsFf1MZntc
7d0OlXWDDRIL6aXNX41e75LALDTzQRAa3CzxaGCX0PxyBhMNuAqVhOHJnZVLGyBuoJLV23zZH9/k
jPgEeMm5Oo1D4sOUYL1rn6gx0YR7T/FunFIdW7iqATFhUJQsSUVyGvEA8hqqxuI2KuW07rGMIgtx
aftqeZ9qp931sMmOfzRuFgzNy1jPZ+/l5j7GstPL3SXDkR5tNxdph7CbMUU1qi5guXYL9lwQmPex
94k82xJOg1sQJR0M76iNN0BbYwPUimNwJePTK4yrY5zCWBStOyd0A9TOjOUjZBIhKqIFQ5kfaygb
sS9ixgayG5MlLpIPUpMESvOegM9aDn1hxmFKK/j9WDrE0BHQDNy3md8BJCmAtwBsyPQKtGKrglRM
KF/rlGOVnYAhtgPcHilC6tF37h3soRgO1Dsmys9wWPvZpPOKITbjoVsmXtXZOiI/HHUoEY6HuaEl
pBz5f1gzIZ434PEBTBWdMgJFkE2DeBqLDEHJ9IXi2cHVspZKn5Lygv0qtN9OX9ZMVtwNkTU7oAXb
DJF1UASn/yhmR5y3rD0iqNu5nIh6mNPNl/wOhFU/56KA+fuvKZh+TBYSnvXd0Nt2R5JPNXsWy/6v
aYAuArvfOyNbuoCuwXFp9RgDtKj4X7TQ/BgnNCCtMSkqKffYJglApGQhNxartf03Ht4/CawCZfDH
tw4oLJqgSAMzEeD+G8uhmq66NRiQgWiNBuAULTXGAshkjO6dBXSLBqsOSDYEDt/Tvz59F1XRP1Mb
/SAsU6BoXBUYuR8wzbTNK5habiAeHDPUa6AfwcXF/yZp4M/EVD9oQc1ocalBU7xHIMAonyY/FHOu
FercfMXOhHRSxD+0qEqd7//NGf4TkeWP6UQ19GHYTSK+FzFmckyIndmNwJr/zQf6s6P/oD7TmOhn
ZZlwKEe6r40JP6yxLv6NXPzPjv2DPBRl+thpVfC9x9iPtDT+VM0t/YsH/0FhNoXh1A+z4Htg0DsQ
qVVahEAe//UF9Wfv/Ad5aOGWauJJJfaKBBZ7+lKkYYnd/68d/fKqv7vbo0ZTqINwXqKtQzbvlGDK
5DY8/euD/8kVSugfDy5M2K3a1bhcSplEbxaY0poR4SPMFYqjTqd6hhr7CJMT139pPB/9MaaojNUq
kdnC9xiHyj+y0djbOgS8+q8/0K+L6z+5u38MKZK1p4CFFNt3cVICgU56v4JcwX/vPpzEB4bKG7/p
WdiLQ6Xr53qrnkNcafxY2Gou0auocofpjG9uoRjdnE4SJdk/3t1//iHh1P79v/Dzt0Gj2Vfl9MOP
f38eOvz/X5fn/O+/+eMz/n54H25fu3f74x/94Tk47m+vm79Or3/4YYe6fPIP87vxj+92bqdfj6/e
h8tf/p8++Lf3X4/y7PX7Lz+9vnVVn6PpMdW36affHjq9/fITsgcj3FT/+ftX+O3hy0f45aeb1/LV
vNpyMq//5Hnvr3b65aeY/JyQKCEE4gO4z+Rl1tL6fnlERj8LHobQNEDBmACmwGv1mHxa/vJTFP1M
IvwijmmEeCR2McXaYb48FPKfRch5AgVUFAmK7uen/3l/9/+4Vv7xpeCM/Pbz3/q5ux+qfrJ4NuHR
H7YMHBt2fSZD6ORigRzRH5MPMCIoduDv3M5PMLAcxYWHc8tFKLeV7LtqkMWXTZ1MaO6SZTNprJYR
iiBFwqskkEGFKWN1nDa95cOnDuqX5HaZyeUveht9o6MISV5t9CQdQ9+O4hfRE61UpkTAcd3qBw6F
z8eA8Uo9EQ+dxQMyW1oLVgFJFRli49YFOKoo0Ee1qzGAQXSCphxZ1Q2gUuhyQEtHwGqTqIMyySPG
QWYD79V9P6nwO/KqGWg1JKBnYzMnp7EZg8eoKYPodm62pcsh3GMgDKtwbO4u9fU1zOTQl/IW8H/Y
m/UMYgOCN8OHpbgtkNgO0C0G0gjhR/QJPbEPD2tA3JyOMrqUfAW6Uwc2GvS5M6y+ZgsNbdbHtuyy
qHHK5MNiGbLeVF1C8gDOe29wRZAcq5PcsnWpq/oO3CJBUoeLXgR4xuuAUK/2G3qv9hhgpWnOwKBn
SA8uSoJUSAZewQNItpAQx+whmsLGo91mM4BGXuZTHSvIJlV0JxGEcB2auAQdqvRnzED9xtGb1CnC
YIYZPcnF6QtyekqxrcRpwtrqI46GPWBR5r5AJzCceKtRl28Qp8EDRRR7bJCCoG56VaxFhqAUqJ+g
TKP21PstcPt1EAOoSUH4dsMASQdnJUMtMrJuLDiiVak/mnhb5wMGgxfLTWGcTzJeVTbKY+z4971z
4ZoBPbT9NQBwCJ/BGU99Oiw6PPIJ4qDM+gqUKmFNqa8a1yHuEolxM+be92t/jFw8TTlA9GjYqS3C
vyeMUvCQQZRVsfdNs6BJ9IP1O9DQUbgrYW6OUobe99kiEr491o6yrxoN4EsHuDETypi3wRahO+Oq
A+tKusKDsTLT5HIeDtB+GTKfVGsnlIKb3ExGAsSroMAvxLmuCf2qk3B2xzKEzmlXOmWXHCwuvjGP
qLgz4Eu9pBVyAa6xXJUPppL3sm/Ei7UIdc2mYgxOCiEcUD+skqQWtPbHuK/Dx2Au7Zct8eIq4c1x
GSL0w5A3xNFTYcAPwsJbTRgfZZQUaUiaYcxmov1T1dPtDZa57Wa56EYy6PvK8M7MSkKpMDTotKJ+
08txI6q7SerETEfHBsQ/k3rpPk/BNt4ltSRjDkgUsEaB8IchQ1AFex49ALSURB2GSMRBDNts0/T8
mk1IqUO9CLIcmF+gwqsZ7ZpLrerYjdEh9LNrOfgWAveu+gL1VuR26JxxtYcqANKkgcPkw1gCs4xJ
8SHYIDjdJGTknRv6NyAsgMAA+u9VwdzHZMFtN9o6locQ6Opn3yrcN/qiyFOYZZYx1g1XPWmXZ4tB
KWXa+hZrQQuctWKM3hsw0CbF6Nf6OC9Dt0MaNqQNyOaPuuOI4MmXsGvsFcgb9YU3UZnstgk5Iw+N
q+APlrRcigOQ+3U/R6r8Ctpo9GkNy9qSQoA74/Jox+cKeNDJbZJVgLl7UIClWBF+UkjRvmlemjMF
mkIzUNbbhzlU/bdxGZYEMinq1AFFa6zzrpEqk+267Nii1ltI2AMkFke0Thc1tOuTRo7Qr2psx3KI
aBFNapJuBPQfFfq8QAc7H5xHV4MKjOg6bygTTbYVuFYzzCCyHxGrLO/6JRqyRFbBF2hwZf8S1zYg
+YpwauiCmoTkAHMRciixDcbfusBTYHQbPQAKxOVZfkQzTb5OcwshVTTUO1Y1Zp/M5ZiXNhYBlvCO
5kNY4SWRAzgeBQMhgzKHJlj2L5LNEQhB/zy4mTLMhtTbbmFj8dj5gDwr3+CMimiVy66HrGzdtayu
H8hcSKBlJFqgzgJCGFwxqPRexQKO46gQKN/cMFpsWayw5AC3pt1OR0DMENFo5vuiahTQXixz+aJc
OGG9qBA5iWENuBIhMgS2Aup5fUn8Nm5Yr8KqSC3OfIVEBCYeWgewLWt9340ZzO5a58IveCMRL0G+
YewENoBNApwvNZDmrAxQQZyqOMKw3qSrxK7HapYAVa3cVTNV5IiLeQtOcx+qk3ODrjKwLIk9RgFm
WuynkSdHQMPVm3DJ+LGfzfAQLFMF5eBYbd8aDOs06SA5rAaunuMhx0tMXbbMNbiTnjXN0fI2gXAA
jBwsAmKLWBoDEbkv+mhOgWB19b1tNo8CwVD6inx8bHRx3+tnP8T2ZiBgC3PRYLYhAHssrQmmxyTp
IlV368RQPdK4XD6sfkjOjVcJRZccbI91R2CqUjGgxpsm2fzzspEY+WN1g+0IuohRH52Y43e5Mn/s
qApvIScD5TQE69CmcDGsY9oDLsGE40XGaVi5srhjvnb+yOZaJ/c+FsuSBqCQbgJqks+Ce/5QR4jo
oXXl0HJ0j3OXVNAOblOZF31YIWsNzFqhluBYVy1J49l9rXULlE5jzYyIbegXQJ9xm6loiz9O1Uy/
W42+qGRueG2CDaTlgJnXJ+KQm4A1Blgcgp2fPKtnYGozsGWPDNBscVH1GIy9PIejJNFhob2AaFGU
edvWJoXxR1XZCPNAOm8qaVNMXQabMHLEOMsCIPy4FSYlKhKPrA265gsIFnUtlmbNxFBuR9cRYN86
QQBfqVcaZhch2qFWA7iMOIwmDEtR61VQrgqCT7FOu15WXu7CupK3yxiYb0vL1BuY7vJzaf1zEGJj
hXpBsQqUhhn2ldMsh4WCbCg9JJSuBmuRQeW1RcuJ9ZP4OgalJojoaiPoyer6FDLPD5Ep4geGdg9I
bxU+t4LqLzws7XCLSWrLdxHLfkVt0ETdnZhK0+ZlvQZiz6OtAYYBTHQHK9AQHgfWuK8qUsnbCoPb
8gEkdV8dxBAObyOnxDysBWwyl3QJmZxZBwrrukpCnEYFpaBPGTI53qhqIf5MGKjoU0FaBqk8yjnQ
CuHQJee+p8vTSEBU5RWkuk9rYgd6GpzotkeooB4B/zXDmRtMOExpsvoHLykCcehW3oQAYY4Vx/Sn
rHRmwgwubFkTAq01iNnSDVk0FrhNUIhDO76Z8tTFKj73dVAdi2Sld4Qhqhcw6TrsJufmDNKCdpcQ
DCBKG9Qgb4ZR98J7We4wDCDKJfRMqKKH+EMQ9IWHD4DE0ykGc9G/+h6qygMW2uTZVzV7myG11Kli
pr+D9mX8MDsoe2sKFfyZNr69ttEg2wwGgfBjREAqC9Rqt3bi6pC0i4JhsTOiO/BOMEB/kaOp81qP
CPDQ7Bs2yDbHlhU3GH8Q0I9TYV8jMxZlBi1gC+AU/T5YxXH8GFZcB3CPlRI6Sph+1yyofP9hVLN6
BjMXIzJUQDZHUC8+rWPreIwreYw+bVCSZMkITvzbhHFAGOHJsBoXEOegJn8N3Say2ZdPdROFpyCi
WPknx2lyHjGdTBzJFi7bdRO2jd93LZS3t9WwUDh41kDWacBmWh0jbcW2x786iTVPLsg7CPtY7atx
1nuLCB53NW/x9AzlX88zpEhGT1UNuVEOYbuC4L/Rj8Zb9YhrfztuywYDRxNjm8fk3nm+r0CPZqB2
9BXCyOg+ClAVVC17Z0JEFgSnAQtu4pqfbG19+REIOERBSaQL6Ak11GzpRgl0hPAJ3rPV5Uik16mb
52o3itKdSZcMO8DMIGstdHPzWoEUtRuE+2UrTZLSkvPb0SXT44qIRMx/iapPGuf21PfONCDeMNn1
WAVJIHJ4G6pqR0RJm4wtQfC5nGC6ONeBho51pp18WekiSN7XLITc3CzDN9LGEtNqsNHegt9EczbI
i1PQYobNU+Vd0e6HKqnxFfLtMyh5uFPwLkReQ8IYQtjdQe3CqLYHRo37MkZqImjHGnZXlZQ8o8DF
Cot5hSjWZ1OeCzq4964Y/R5jkdqTCYutOi7JwG7QNMQFtPRIlKgHTTG5Ce1MjiJjkxlkhbPJtsa5
Ly7yhU4jQOkRvsVi17WAEjN497YplQ1t6h1uZmidVhgvv+L2FdcWmitgdyHB7r6wXh2Lsmx1vpTt
fiUjVJbQQnR3ESwX8JNi9koI9rmE2RQdMQHHVQU1uiq0NyJDk7shjbuJvvAJG1i2TTP6V0jkmILk
sIXguICszb+YwobsGEyYVbKvICx/Q4orPy0Qm3zuMNkhtyU3x0Zjmd8iauDN9AJrDTwGO9NDQNJB
BlSnsB/A/+fdDEFXFwn7hQVjcafkwg8iNOUHU8VtnEPcWTb7om7Fw2amwZ7HISpIbpNCFPCj9Zgh
3rmkBrOhMDQIOmXUNRBnuLtYA4rKwM0lb1VC4ydq1QukU6ZNeS2SFGkzHS7dTe6prAgmkpP47C1M
J8Aq+xMUofoeBDnJtRECViHP23aHZFn7aOBhTSn8Z5As95X9Vk+lmPZJlEzmKCdoj9CyT28YkrXc
OVND9Y+Bh7JJ+aAUNmnnySubVpK3+B6+Q4W1PS4lNnhUo+KazaV4qLWCDqYs1huoh6+UTPgEpQbw
LsjpFsSvi292RsGD6dIyraJ+vYId8amKRnKwdYuKdxH047aVb7jcHM5xxdNZVG8ttNYnW9Aub6sY
57tGhexCccu6QJ87bvGGlkHfg1/GBgrH2BfUFEi+xuInnljzSiLOkfZTcBT6Pc2R+9PvQjbwU9MT
/YS0aXKAVxTwZVLmw2DpIax6+Ta3QXgsiGGwszXHrY/h7xFzU+dI3uj3dWfokwlDfyW3mFzUCv0V
5Jvr62x0kbOi6TpIrD1xRzgUoKzHIrl+22aB/N6+CcfMFjw+T82Iogv+w7rFqMpgfOWNiP1uE2CO
/UzNEexKuGsElYcaasyjLjza/UU391DB+lvBGTcpX1vYdYA8Jmm8Ttu7ry1ItQYVZIawvfjZQ61+
7SMNet/2DD1xG2erbkgeoZJ/bwNnDuaSO4HN5NMIWjxMt4HPN1ZgEZ3AddUZ0GReHLohUUeEQx/G
Nm4OPfwpaUg1wI9G6OkF5S4GvLXe6sz92nM4rfLR8uZ7TMvkxM2wPa6+3j6HrRKP/QA/MlRZSJsf
I+Zt2oOIyzB1GCPo6vLABwggIoX5Ym0o7mbYQvGBHMxQEQe1fIhgJdvTeSgyBT7yemnRn86SjZ/g
gL2C9QdeJ8Ilf4Q+czqOnXEPUGsCOCIl5tM2ffNpbCn5VJBO5+1szO1KYUFhvY/2+pLc2lqEiQHs
xdAez+8x+k7sILmpzppEKWyY85E6eYuo2jVjo2RXnkchCqlkyxEbNu76aOLokZfq2lgV7BZsxnuR
EJR3GPJ0jYWq3uGWiT/2wYgEBGVAIvUUNoEoVM8eCanLoSKLewYliRGXdphwfUC7fRcrGYtU1QLG
0zZYd1hxfTrQvt37SY3nDUKY6MqFtZ52QNNOvijt56COyTNH6FWAXmWzLxsymiEHbejHEWmJB9k1
BN/qRo5a4Ps3vZp20ra1Oo9uRRmylmu+cM5R52yN/Or69lUE+CBuCIEXTFv3Di1lccD6MDyOcMuj
HCqC2xa63x0rVkQFY2Odw67PVVtihhaHfAHuSPdYDq281RyyqnRCOzClSYn2Ji1WXl0hw6k/SUhY
3slE7yEQXTPrgg0FWeHvBfNi54IJkwExDgXGpgX4UYAxLzDmnITbgE35YRMfRNTxzxxuJGJL7CRq
rq7kOOmDR7+xgxOrr24Lx/3XrWrpS9M48n01GB42Q1t7P0PVWQu+Tbc68M16Uy66RE0dlMdua7+N
PIzsLqDWHVF6++9lXHf3jeXRcVyWcWdIB2ydID2Lzb7fLzEY+dQj+hmV1MZVhHJYYg5iU1fbmsVo
Wh6goIDMh/chNr3/N4TBTfUNRvPh+/QjY/AHkuH/I1oh5Jc01z9nFf5X/1aa17/dm9e3d1v+nlj4
xzN/4xXYz1LAmswT3L6A8C9RVL/xCgKPQN4oQmy8wPMvkRS/8Qph8nMo0EvB4I15ohKk3v+wCuAi
wDQkCQ4nWASK9f+KVPiRUsBLQIEfJkkseMx/jFEVuPiXEOnGewCJq30q5zh+3mTQ65wPibhjEsbo
PAgh6+qJG/YIdaoRLap4/rvT9k/IjQielh/eCd4GdFQJnAuArWj8K2f/O6IRk+JFFfgk2g0h9F9N
7GeoMJPitKguep6bKrlGan66garrCgiJ9TAf4zYJ0A47fsSvqn0QNsNhaMruC8AbAtsuYBLYXKoK
w5ULfk8mGFM3iKBypADNt2VdwbFWo1vfMWBAD6WFTAeIT3+KoQHMgjHYoMFWbbELTLPmlEu/6xXs
dxB6rJ9C6KyhvBLY/uvYJ1fYzYGDJRG2jxp/jw5vduHJFMK9DrDUZnPNbiFECo7I8OJA5e1EXwkn
7Q2nCCJNkQeLcX0YkXPlxJRVUPR+pXTa3sLG8OcEF8EBQRsLNvnV3leoAmrAk00F78o6fJ1kbE+z
WMxdyabwTIYwygVCJ7BVsOkeMnPUEH3kd6Sm53YAWoM6N+1ghnsBBdSOEJwifYqBBP0UzkWCTAgS
vZQYTL2fIdw51T0t0g092PVYqmCPPyEHoBsiH9bSHC0jybUK6Hpa4otyxrf73iufj2ycr2DsryAg
ZWqn11Hv5IxAtmwee7r3cuW7Ao4EhNaJ6ZmPROdJNdBcqrF8QowF/4RSqAAPCgUNRVjJUVu64aON
99sFuOpEsN6orqmfZ0yJ/riusBzVUK0dI8ZIaoYI7daAKoVuZnkbuzreia7pH1DCUFDvIphvMMzb
nCtFWR5ChY3clxtWjse4D67isQSN4oBoLETeSVqXPiWNCrONQKTf9RG4Ggj4ZdMnhwYD+VJrxUUl
6NujKIO8LwCDWCjCrLD3SKMXaVtCSiVnBKIia6M60gX59xoi1FvdNNOnqsbY8t5OA/Snasp8HwRf
5Ta6Xbz0/rbjSBS4TPCBWShAcN0lm0PDjnb5l3hTECgdoOlVHze4+vo0CBd/o9gKd105hA8EVpD7
uVvcHdFAN0aoVPN1Q6UAde4dbPbw4nXzdtBqmh7alotD27LtgU0FDHlbUGUdhfp6gbzqvvFVfwfg
We1QXvAd+nJxQsgJQ4Mxwmfakyhb5KSPw6r1h7anFN8maIm+bZCrkXTfKSRSu3BNumeEqwBwh7Iu
xzEwmKIcxXFxyIVzpWOngU/xoe9VhNbOJ8AQOwDmXZAkO6NInDm423OjgAEYOGd2jUJNfJB8AAOI
QBEOTABuaSwRAveaRUh/oB2avr7z3bEGxX72pSzQGjtxh/AD+rg4iA16e+v0hmZvGfh/k3cmy3Er
25L9ocI1BLoApglkn8km2YjSBEZRFIAAEOjbr6+V51RZPXuDMqtx2R3qSLwkE4gd292XX/3KWfaK
zXuEOV9cEz99DHjJbC3feTSHMixSkvOJqYfzKOzsa6na9G+ZsP65K13M/Gt8WchjPq7Sbj4S3voH
EpXeqaW19Konpz+uenR3BrjwRzRYM2wIdd0Soo6fVu1nJ0/17qGfhuGrdYrmxpvZJ6JVtb+sZlAs
mVWMOdgDflnjqtVY+BMvP/qOG2KhaO/BqGFY9u7alFNEXBlzflc3wy5O82nndoFfP1ATPOkIgpu6
DuiMUdoaaqcSbIopC2K9iSmECRFTZR9xj7Jhxw2jTb27PXnRmMXvRJrZ3UKjWRmfEXw2BKv5PQfY
qgjBC394JojoFfcVbPveNfUa5iJOWBO25YnDD9XQJkrLO23Zd8ugT9NSpj9rocfxvt3nuU7vM9xs
BznVE5NOQot0p31J69w93auYna1dB98LAJvkWGvdbKeh1yefpPuHkwX9YVUVxIeRvgG0X+ntNUGR
FQJNUP/NqnyptzFX57+y87tNzBrhoxTBwMRaPerUYJCduoM2TAHnB+qLjxll3dT35cQ9StHz/K/O
TxIR3Jm9NKk+oI8XoB4WvgBrqGM8Ee5aylIfUyueiuhfjhFeweIJ6XoU+zKenPnoqWUMLnUJv+Gb
dH833IQqnRdw1/a862uj/ux4FD7j2NLvVZEaV9BFGgW+4oDeipavVgbr9FYrp6XCtImd92QcP/Iy
MM6L787xmetJG3qES73QRZEI/0Ui0TdjnzC427d/uUj08WB/51L7VyyWe+MopGJokqpQz33XVUeS
t9nLgIXsBflz9iJCZZb7MJZB8zcpUb23aSa9H7qZ7S/Cl8uxx9q6X7LRO6Of+N9BKYXDpslU6ODC
vcTKmdMNu7Tmhd4k76pnfqoA1eV+FI2zcTqj8W557DU/S8drbg5v65elbJoDeLRxl3QJljIST1xb
yMnNV3uN7cPdiMAlg9nlH4RtP07yvUvZcT12dE+o05jfDIylZ0AL6B2IU1vE1LgOFThs80cVtNnP
yVUDXMo6w9dZFklvb7NqcH95ZHz0I7dQxXY303fZHTLFthBG27HICcSz0DY7AWEkz+nkTh8Fcuib
bUz2S9WL8hQIKikse64e48JI3rQXEKEGUom5e+SfYNaaFJGQdoyKOZvgBFn9WUgH63/gG6R36LMU
AOhDPa0VuY/Z2pGHMe7xu3h8a2eh0f5UQ4KCdeD8sOSl1W9XUpw2PhCcuVSvV/NBiWmIpiQ5xl01
/2aNO0VVy8YyscruKu2kJBCZilCXjs0yMrFCNncHqyQHbASzf0zLeX0cetAlLTd5+M8EepnF/P08
g6XhpZqXBCgodu3ncx1rw4GARpztILt5nU5dpdIT4wycMouYDA6n2Ht1uiGF8FBzvu+RosUTvd8r
q3CaGPK1YieqWru98bd2rlqyfTtAJAlLV0deYcrzlNyl/2pJykh3bfdRx966iZW7kP226NAA2cFx
ZIOOaVxjUwlJvVW1Jo84P9xd7/AZdVjcXjxoRJssYReXOZva+U7N49zqD1z3n5QtbJRNz6T8aMfJ
RhYcY4JCmCR+M19Wu164NXboeRl/GOnSPBVtxg4yj4s8QpnwH+5hkXW/kCkApJoHe9jHhPXzoNir
mOCDYu+1d2l8jvB+Af6H/5KGPoG5jRjKmv24KZanbjat6lRVq0tosQRb66ZGuxntQp0RCPLXcWDR
bBHP2OOFLI4KBtbTmKY2sY+6Wr5HqyS3hYKkfvh9EEfacAn/BvTd2yGOBq8OJxwW5bYqfdT6mb2n
ije0mXPU/kMXw1WehSqrJ7BJcZkc3HlyjgDc6p3XtPqiCcc9qEk2FvNt/j5XqW2dRi7e7IiFjA9B
HDcYMXyFBcTyyTuI1T3wLSN4gSw4jPYofg9dYrMav999224xX3jbpGA3UuIRUTpTo9H27HrHeDzl
SXBpc5+9ZI7ZuCvpQ491cplcl5AuK7XPdYr7bk+G2Dj5Sn1S6hwAL5A4DpbVKr4HLZPHnLcip39f
In9hACdHvcRLlDumvkqMFpvOGM33GtLDEwdcc67MyTkHgUGaxQF35pDeAOBUxX9dWDbbXNjycXYz
iwFaDsSsJxg6bEiNd8NbeYewQ4/nMKi1uc/rstvKwm1u6+Q58Qbjlv3Q4roIs2CdP13wW88Lb/E9
i1oTIQm2U4kQFw5F993e420Ea5tIuqLm5Exihs5VYFuZHuKWoSCb7LPNb2irllySsDWrt9qSztbj
oCGq16htmcXyCoorfRdD+9BYrGbZ9Xf7orI6PBxcbi6tm+RnUDfyLsoXwwESAINbklpYdNzlHrQi
4Fvoc1EVb+xBvo3Yf+xHlqa5SPOwmXNzl6V6OhqZz8nE/q2SssP90a+PRdOUX+PSDo8V09eG3UVC
mXqeHvAFTycpfucIrz2B+h2LfHzIiMG24aTcpdYpWtKl3AkOJNg8yZKqEFASZrdhCWMLmnt6nDP3
lC4eaJbknK+Zd00k7hTcXlAJFejFcK1d9nFiBCIzl3/8Ca1s043TK+1lDNE6qUJ2o3VoNnkWYZXN
n5OFiTZuE+fs94Pz7IjSP41mPW57oUBYGT5YQJ7287DcGVt21QpGUG3eP4ZuKBc+Guw+i6hy50MM
WGEPQeLk5/0e7EIk/JTF1shnegkn7RYRU0d2YmWlwtZS87m1XExlHmcT29JqOApZip0yFCE/drJt
WOatQyPOfHDwWzQmM8TqjH7oohSQN1DFMV5L3n+4Ft5FXFdGmOK22FZQDc5p0gQfpls7e2Ax4gfM
FLStJilO9bwOkTBEci0MFxTZFGAcGpX1i7ig/cOTa31jAlbHHvj3e67j6mjr2riJcXBv+drkvCtd
1D9Ht+ml7VV6TanhZjFdT1+CPrujL2pcLU5f/bFZeiLc9Ze5UWfw0m60mPFvc+bss5dwpZktHDLj
lSwKCahl9DY1Ku7BYH15nK0huE7eFLwAMeojDbsrrAQD7Ci1vQWP4wPUqC9mSq+1yKrIM1H4bYdb
pFne1DjnzAm6/cTdiwwOfiuEM2QcO9s6EGM0TiYK4lZTUghPr+9OMshvLkYP10fkt5z2obJ+NOZ8
HaDqrGDErd77mafTo55McYC090K2fpcYxGHL9hDn4n4seQnGbpK5jIY/2iT4KMsgssbss2WxERYt
ZqwEj81NzUN5CHrIPRwz+uLkk8XnuK2OgZ+ffTctQW4569lDlN5K1y8OZe7vnQW/Vk7kFCFBZ7Df
imRPqf2LaWMn9xc9hhZIgmglZ5nz4ai8o+lyucI/nX/ZlqpIJkoCgNmkUfQG3pGWaRzSStmR2xfm
HqBhvKtyGZ/nAuYEpIHuEICZjDe6UfKSJVa88WcZ3c2NR1rDin0mj2JIz6K0DuBsoWUjGb/Vtewv
piPtN6Tsu+Vg7APQ6DgP98gYOMjzePGH0FeDi08yq9+NKSgi3+aKsnrY18s1qM/Y98YXZJen3DWx
nrn898QwSVad+rL51jNwwDJfjBJXiklS0ofBWPtRg5t8x4qpPiofQRUdOI+svF2uKLxwTKVlftl8
f/B8hrwPJXGgj8Hwm+NIzvhpHrS7iwHWESsKsLgV9XZsZnPnjX042LHJO6/6sNlZ30ZITNxw5mB5
LpEGoDgYXrvrXdJ6U6arzTSZ/OiJC2LCmILtZAD329SteylRMiOv9qaLpNTxMtrVNcng3q/iG/Ri
iqlLnoLgZTZzQiH2E72ox7LPfk/J8L0krWdvzLpiELeaGeXOS5pDJzB5cGwa9IoUc6Qsw9xWRjlh
mB3R7zD8Hji5DrlwD0J2ZD7GaDJ9mIlBefBxF+lElltO229vsh4M7Qb7Tq4H1xBnF7Ljhllrxyr6
52BNSRvSP5gfG44DlCpzebDj9OdgW2BKKuMdx5X7WKq5/8RPWB/4c4QpxhbJBeJoN9zGGFGMlzmw
r5VNWZOazVBWtXdp8JpslGt98AJHETMb9922SxEZZNojfxHvpfSALHk+kjCYR2bosK3zkATk92B2
1mbkaN4EEpRYPvg4W0rvby7BnKbZscznMJ3K1waK2CYnuJs1I0Y+DvBdGdcI4va+0MuHUft4qKjQ
3GZTTE6/IML+wiW72xVOdlUxPNhA9E9TWzDqoYk/pZ39pojlhXK2yZcXJvMiPaQ7KbBg2V22w8oF
HC6zClZ5wnmYZ7o8/WLUUd6qOHLRaWGEbmnlrNrQFePJyS+Yys54/zIeR/0yKJhMoz7FQRccsm54
8NZgbqNuGIJoqET5mjTV/BHo/gR+gNYXLhzIt/PBw4Sxpz/J0ttiXqpj1nfDzoA3fDREah3yToxP
zTomv5Jc4KeU9idX/le7LcLpyapRV5o/kj3XKzHK6igYfY8pm6GtnseLAcZvo4Ed7cxZ+gfHKhR3
k+ExKVm3DENVv9uYsw65WjBYZDhIt6KGrKn7EUIQZtOLJdmYcW2Id6NcvRcwiFkYm+t8rVZnZpdp
ec3R89QQtcacRTqYKfPCOxKAOucXZSb72sJBIi25BJumtrO30Z2dBz5nWzzxF5qnuwtIkHVTKZOt
1xHKk7/l73ZwlxzjaHFT3Fa2uWB6XeVXvcYdRoTpJYjVS2lV6V5Wqt5ji83fDaTOqHHbp4HE/kZl
ZrbNAbtAozDoYOCcZ04GyKFSh3RhUd/IvuP4YE5YVok1wMQsdlzrvA6bafqJE31mdYB5yMsS51qY
Vk6QNjVYERd53WAn4Hd2mGbbv8gEnsaGvVAtI1fx3wGxG6NUU+XEQ/FHsuoiLr9YT9pT87PqkkZE
+X0fHpgSNgKYvtyykh/gMvNL58Ns1DY5xG2XKWwLBpZsNLFlVvuJkPovqHx4y3Kb2kQmTQaqfIhK
hxM5gzKvNq2sLYP3wgI6L3DlmFxGbzlDiDLeYeqR/6+5emw7Q4jXwHUpQSdujVWqqEp1gTidnGWM
43uchAl7JNF8OnW5priQPPkgbS8jq901B/6KjT0p6yEk29Z7FhTuUfRe8xedjdExdrrL1HJh0oZt
PlvaTR4Nr7L3TUppIsYeBiAqeATee2TBaKxL92KOfdQy/NkisCBqsqW4BK1rvQyllZzooLNeefHj
qfLsdD8mDdZ0E8V0b4HbbMiIlrguiwYEIZf/mqMPj//iNCNrtmZgE1YtVvrpe7wvCDxO+Zsl/OuA
v5Rl5qSfVFN5oZid7zjAN27aokphRdjxn7jIylfGkJ8Kszch2fbZGrpXK8jHaLwvvAYi1nDma/Ll
sjvPs8nHlUxE6Ht6PKBW6s/azeTBB3MZ4rs3t2OFbyRhPYghJF+fzGGcMf8WgJYX6bM2y62eR8th
QeeB8SxBtVeZqh/83Iaf18wSU2H/Ni4pLj2r/UGaoglhjEEktFzvYe2TDLxH1/xygErj7orltLfd
AUvX4Nj4sV0uNkn8Chs3OOLXYtwZyDX4w3mGIcMLb1anxZJ/M8b/uy28j+6mWN4E0DixscKOxJbN
YYLjaY6GXuiLt8ZPg1yfvMQLnlPpQ18fi3pX9daXRhHdtG5mX+eS2bhVd8ghRvTPEfQTgPTgV9AL
/+BhwNowJTnwy/CcADbAt1bGhTqCfRIHTl2uxtYpY2p6U4VwHyzBxw8oX3Ia8AEcuNgRUm6L5z7D
3zwjTO1QeC+CQb3z+xGvKVvJ7Wit3ZFSM+NhXOY7ycp5TSm/i3ReIq+0uCRSwxujAfLBouGd2wV9
5sJ+xHZvXoTEgunHlLYJP+FSnOcBmyEvP/d6vgmr5eFstYQoicXPioMXgqDOOdX6xeQhwn8w7dpR
BlsAM69VoR4WsEph6uHZn0F74bHIhZQhWHTz4Om231lMOLwLWY062z4YeSdP6OrnoLL7lC1A6/Bh
ngCnC48Xsgja+m3BUPanciVbS6hKIYPFyq/X7Y4VH8MIT2eVcqXO6x0YDnXt0y5+atd1PS2951/9
oC/CvFZvbuI9e50KdkRLPj0lzgVUDJ9t995xO0bBxX4OmIvOGQg0ynOjrGzfl0F9uGPFohWUVdhU
EvLJc9yNabQisLy0rk0ax6iKm21W7bnBxIAI76XvLtTHQ95OjDRzV0GjxCC1Chk1ae1sJVSjfdmD
cxyeZ7SmazKl6qR41j7LOc7isJA1Y3ffsnsZXJ6AhLiDGDB7bxqMqFu/7k8J1IRoFu1ReLxPN46L
mA9tk2kwY1rYKLlwnJRFDMPCdUxWjp7e200Z8Gv0S+vdbFLnPgABIPDnQv+mUwBvUw0a58I/qk7Q
zt56nxVVYVi7ivfbNVgKJUMDJu0XFolyy3k4PWfTOh6TWmPsJdBhflDxZLxy74crz0f5HR/FGM7s
2NMoJ1XyyHuha/iuneIXDvPxCwwA9zqWBsGIKJTnLrhD7WY521tneHf7LnscjZnHeMn5JaAxTelD
DOFk2ax9xphZ1Hbwim+mO2KJXXldteb4czKl+zbQVgsdUrKn0glOGjaZjgPOr7KKxwQ+AsnpYg7I
ViX3OkSJqbIOHUtmbwPZsCNyFGOcHqxsx43aOcihzDApVzX8T4kdDnLgNH4oqb/SEgBUv/RfXMsN
2gQy+JdmY30VDHwIbisLq42hWIl0g+mfR6vH3t9W/C8CBNVdF4zWjJSm+wFQmmeJPza7q2F73W9I
ixm4DErMd/Uwun8UA/luHR3v6MeJd0VlnR8w6OOCHtGEW/zXuzor3OfBc3ijpZjmzW0j+e3hVbMP
hhG36E8w0kA5B/dNl94wKo7f/HRoYe9njOEYtw/m3N682UGGBMWqga67Rqgw9V17w5tf2KylO6om
whV/jUl5WlP2G8BoXsbjp8YkkhCTIyli93cFnJccSWE2p45WgjerD0RksZU9gNCzH4vJyLtQxv6E
FG3ZIek+pkqMSCb0Lw6+OduhKO6biQ9wsvqfOoXj6UMQe+KDT1ukEQxHkljWozmmn0HHRo/UgVXg
Lhx/OjUcis5Jmi2uvSegeGTI6xLTqQnpIIapF3p9uUbN8lFnVIWazca2qgcUQfIAQyPekrqJxiVv
4VaSlQFiZUYUMbTbQQ1TRIpMbuKCOI0m9jMTyzpwC0x3nW3Et6GGNSQH79cc9+myVdpvoBuM7VX5
LL9oEJM3J4+p61BQQ+jGTNddmqr4edJTtutnY/4Z9+Kbpg43zIPYedRtW75Tdc8bEQvwRgZB9jxA
+9qPkPvLsA0auh9QUbyVoqY4OGesJbl15Eq9poPZ36SF4LPFW5iMIe7G7OwGGAK5ljoiSmzOZJeM
Y7za88u85AK/+TDunTngggbZAgURZnWFdGqPcns/qSUXj60MShA8GALIFzTm+zzULQbiDkN8PxZ3
YVZEip6PLfTUV25mTCm90+59jLRXNSmqtpYii0ja/EJ/i88MIupSME2GZcOFZslK7+zWvGrxHOHj
RPu7Fip1f0iMUfDUp53K7OXQ9b3Etlq353oV2S4fOvOWAkeg+4NzcNPXEy5MppZm3+spfknH2Xtg
Xcm3ohAFZaOdM9K0eOKnCh0Ir1V9FfHghqhreiYTIi1sFLW/XkCKy78L6Ztij/rCHRDVbT5NLYRK
31n59LBLfU1WZ3i0h/rJSNZIs827NgDEj9DJVIAB3a3OCT0g5qYhush/0I7UVNT0yAVr9beZPEHH
oYekQqvH8KfAOrDrjSI+EC3g61Vdbe0Fg8IZ9sqhKJf+Mx+x8WxpiJrkJnF19s7v99diNWo/s0Tg
6EJX38DT5No2x5Gnug/TwWiY4uDPiHrj+CUIYvL2H9HvzIh4Gkm31R687ZSTTNi0Yjwv6+yFfqOH
n/1iL08KP/qmbrC495BzKEqrzlK7MNFrz+WwQTNn/ieml916QDKsixUEQDvhDd1XJpEfWlEmPr8l
bDxRuPmf1Siz1y5o5R8UuODiDuKUDYpUAfdt/IG+NbWad6EowhbT24eBIPtYiQYDqNaCT4UwIjMn
9jEFqsfsGN/JtjMQ0jNnQfrFDpSbh9XYj4kF3xFjEMZlX5ePCP8zWEYNJLojQ3xOSrg0GOoQmAwX
O2Nv/CQ22v4KoI15ZGBG88z2mdNmVK76illWck0gz7LHRKmIUgFNZYxpfrAY+pml6+9pDgqOca99
sy24VlnjQunhOM0+gFauP/qFKg7eQuZyICDsb7hrdNymzAJ3AHeWKAmykWjjrJ/9pVzDWPveY1+W
RFDqYsKVm49ryKav34kuqZydrqF9JROwSTLLUw8+Hx7EPxecnLXEbpXtM4qX2LRZhTVPJRj5fAOa
+poa/t5oZuu5cszxIg2U15730Q2Th4GTnNA2Q/v8VLiJcyDnmnykvbbfmpwUNSZkYkd2YWLmMJxx
3w33/biRt+JBWRN7J5NYE4IXtLepzaMqczETyYSTINMLi/Yxo4lITPQkAOG6mDTChL22MPnoFSIc
3ECpIq/xIArL7q8SGSHbKm4GSD/YGdq8WLeWLV4lu/0wMwUYOd6mW/Td8mIU1pM76nXXwW0mHrfK
B2hY1DBl8/ybkCNg186f7sGheGq5Iq3BA8bu8oZIG7xYhjM/IWB7vy0/1Wdj8dDVtDmeVEs9RJgk
BWCjKvVfnAWVEdbOR8ce+l5B1K5XO5vzHU6ads9Rit8FrtzjYJU3LHj5ZWbmOijyGpEz+e8YdFNa
YJqMUdKf1VuDX+dpohwAg/DgqHesq2gEhr9ibspGukfs9drygQh1Ho93epM8dmm+T8spPbklPRvQ
Kv2TIpNR48KOSFX4B/zG+sguYwzXrC55IubpBPVofV5Vy36zlbKkvWjBFExr2JVHwv5hePbNb+O3
YK6np7RNdCRjbnE5rt6Ico80Kmf1nKITZrihDo4veX6CYDljMmXzWsz6Ia/wlOs2P9qMs8/kwNgb
cIm6BEtJZQaXJ/tay6A6sPf78rv61TGXc5IgGPmGe9JNiWhj+slwUPFsfqRQzHZdUQZ713HKNzFI
Xlw9mvRRK30SlTec2QngCXHcOcqE1bwXUGmvPhgOQtQWZKcWoZqWG4+GAfxKTdgAW9wlJOXvQUds
HRUFDqXZwGvMexYA87BY5qZO0GVTxyyeeU2DHEeSn7ecHNUOTdI8D9b4XbeCXU+XAMPIJlZ7RCXr
B95bboj/aznhJwBvGCTz69gn84Ov4+lAhnG9YbEstmsWs5IKhL41DBc3alatbZKWNVnikcRwOszj
mcgdfPpA+H+92Y7fxy6Hn7lyKWUjHTc5Tz4xaeSl4IfOiiWqs4qtQVoZUa6tnJy6mx7VhCe6TKX1
LDIve7B1x6J8TWHJkwvrn9gNpF/FhJ5MNlxDaGURid1BeOfF65wPkU8z77O1Y2s4uwSVFlrUl3wu
8G1l6AmuE3w1ceCAjxTJF0vCe0rjvoqyG/WccQkvuQgM7snvP+6roB9mjCtrQ8FR/3ONPeud7Ub2
E3/a+shuw94mQWxQuxeo79RwxG2ZPZSDuCpeYxWnW2QBrvcUSpCOq+WLawpznw6NG1q+l97IJK9J
WDtDcepTlf8F0jq+aI5XhJklfmyCxnXxThTloeyVszVoRjoNpW3vmo6zhsuzNp+KYpl+smbxrkhW
xdav4JbzkXe6RxQD56UcuIAb1ZK/5JXxW3UtpIKW85OeghNlYB1yjts+Js0sPl1Q51tuzjgwdEXw
yJGZgTEIaHrf0GxFTsEgkWaMN4B6DIDWNLRRQQH6bm1ZZNQqmMI6sMRfS/nxGYcOtZsk0GFbLPGQ
PnkMBxBN5/hENKHYT21T8rHlqs/VmW0BapR1m4AJ3FRAgCvBCPCq4+yF05WZx+UuzfFrH9qSPKM7
pfmZJNL85k2EPEF1IDwZBRAXi7E2YkbOfwSqXlhGG3H6MTqSnVtQqIm1A/ttQHDoQgZNeDtp2s65
s7z1UxM+3vsp6l3Xl5RoceUMIVhyXKH1vbANo8zElXd33333XptD9xdzzRL6VeK+rIAajyOppZDf
WwedNQtOdT557DRQYnhUm03vwN2h/EuyV1g8g/4t1uZ8LFGwy/kBvtBzuYoeZ1w/7oYg9ne4yZg5
SUztNdLNSzfSiJCMnXswHbrPwo72JZdL5eL/Xalr4KRY9Vue8jMgL26Tp/PAN49T/NCqoX104i4/
pZApucJjFNzk0vH5kYtvXjjGdYyXrt969H8ZwD4K3kH/A6+YUsoqll06Ti65Wb/6dpsq3s5uXPws
+iVBQsEy/OYV6B90Xo9Po44VnPpufHBtRBf2tJhh85Gqk9RR+vkfN/P/x3wdfOswm/4vRviu+yz/
q//937/wr/898P5jCtviSMDZ7cng7qn/1//uB//BFc+/7eHLdax//uR/c3XkfwJPuiLAIC+Qcu/V
x//LAW85/xEW9nffAxfr2lKI/xcLvPcP9e3/sJp8B+IP5nzBWhh+D1/rvwG0qlROZmp0NnHBFTKN
ORup2A4ittXerDBa8hitxZNP22iKQ8v2dYgtoeeWSiwFmnQvRwpMQLS20Yr9a6d9c3Up6nKHig0u
uUG82xBU/KAdt5YQzh0EhSRmcIqfHJfWPhY2RNWdYMyOnqZbwtXdk5Np6zlgq/SQIJ5yuTT0ZbaC
7NglMZq05bz4Tt2F/ASXvVkLYDWYyK74fHZQKSPlTPRSefZJlmUo62GI1pZyPax5emPdX0hr61c7
yQIZaMOA29bFXFE1wTVODPEwGl1CTif9RdQ+g6ZK+FBhbcIA2QW7yrX/8CJ1w4liMVxg9PfUGZif
zl03wxwvR3xI/fMaBNMpz8z0T9B4I3wF0Z206D/lbPgHk1DOTg2E0yca065+5n3HoxQPfTP/WYE0
ozJBFXGU8eA1Ek1n/c09/GgkdtSX8Y+5sc/cji8Oo2y/DKfSEfssNfFIysb4cip/2sWz/aco6n3n
YJS/Y+WHYiHRPdmvScCymIX4uiXbHpMLoCqtEeoHhTvztpfyw1PmRbWCAL6Mpo5qzWyYm22QNFRJ
DsZ4FlPXcvURp7KsFgyPzh6nOJeOon/K2xohcp27cuuQWaBQx/m9UKYUkcc2n1fbsx6XwcVVBo34
F4UC+HPpoku+rHuAM0U9fcoHmxeqmJyvlhDRvhga/7EsE3nGsrz8bYOeEBQFQQ231nk94zCaLm2a
P5qizv467YQ94N4VA32FaqUOQombFQQw8+GfsPdNNHAdMEKFIhGckKvR2o8M6zGvWv+JSr0gmrz1
5qfVMzzpvQEn7Wkts+nojkUGmrmHYEQcyXrCKd1EROe/ClfNO98ofpVAfK6d9Ah0F6tJ9rTLb1LS
EiJxIp1nkzqSxsPHpeoJPRHqNbCo5dzn8lGAk7r1SdeJi5QUniC+aNFEmm5fJFqo0sOuL5n9gVpP
JOBkUMCoUSPfbFTUDs+d8gZOdqSOstg6a1yiT2T0AYWGoaxb6/vgBJRdQu6BBq3x6XmrCeCXPCsl
Aezikm0n/SXBXpNmHhu6KpZRTCcSYp8SXOEHQ5NN1EmLCmY4WdkfBiDqfZhaeUd4JAfR/wOXX5uh
smm/X0ll+/cbmVn5oTX6muMm5QpNsAAjwjlu0mLa+fiqIIWye/KRH0ltHnO3MCpi99ka8HVRinak
zQoqUthIewwo8T80YVpItnTasB1MRjpg9qkNKG9Tuaw4tj3Lp3QXl4bf/anId5cYZXyiA4JqPsya
TeD+Mq1k+aEnnpigV+zvk9ZfImrkaNQgbpJWB8xVsDSs0WD/xGh5rz+oCpI+jFP8sOgPwMzhbAf+
b7zlyuQJ6ZHcrQxpL1e6fOkIMnxPcUNlMtFxMtNE00T+BFSqVLt1cLS/LXuMpg8pedLlzE4o3ScQ
NvqthXezgHDhr3YE27dW+3JIpThiOezJybXGkO0CSYFmaJXgpSBDCEYiEDd40Ib0FujV3KLi8AWH
Oo/Qw0e+0TqVA9HFuXU3DTIsVP2TR9XOr9zLKFAhGfM5gWSkbC2dm+sAi5N9rb+qYzkzb/lsZd20
A4rkda+ql69pP3/8T/bOZLluJNuyv/J+AGGAOxwOTG/fsW9EcgITRQl93+Pr34IiKlNSRGVUmFUN
qqwmaZapJMGLC7gfP2fvtYE3jZsmr6ZXVw0Vk7YwvZOxxbIXBThG8rx9sLUudn3fuK+BqKgtZWvP
b5Y5fwxOh7DR7PJnAiE2pZdvjCbu6af37dnh99YrpwU+R9DuOPQZQKk+kXvP8LmjqOgWMSCU0lVK
Q/hmqvHxGuHod/tgKFvCADRzEOBPeTqcWbWf+9Ye8YmGVfsQExQm7wmTxJSfas1AA9sIJWUODmti
njDeqxQ54iG1sXH0JnaNh1Rb4QcDfzj1Q5SRHO/WdvRYE2DWv3EgaOvTjCqIvmofNc6qCuBOR8l0
4FjzPtJqdVdUani9XeZ56JXLeWf5DUK3selv23aKbmyD6WYvx/HKld3dBC796IdOfOdyYuJQSp1o
zKamt5aOr0uI311pkFezWpLbH5s5heFBUFJ6C0igeM8xEx+gww1Hv8+0gSbVzT47BI/eGTS/mCS0
3s3Y4q5HgBi7sEjc7lMaIZ3GsqJw5tSyI07Ob6X7zU3n6lJO3fDNp6bsEGkC2XhElk4xqw0U9UI6
YbjVBPCk3yLXQWwcG6F5nfS9c18UlvMJjmy8Bzov9A4MvZNeLNTxrApEyxq5Vz8WQVUG64b4za9C
u8W3HkX2y1AJZK+giryNozJkuLR2OIyT41fdgKWVV+DJjOwKuYD9iCKwyi55OboJmh4iBRl+G328
9czQfQEwQmZx3HjjPi79QpwcwAwfhVH3d04i3EeTMJBLHtHzozPr66e0ttTb3C2ZRxOr6kpnU/Di
9AazdohzGIimFHUGnrONK7Rz8GmKb61AWUgKRXvsbQJ1kCfSyVDdQA4q88U62bm002ElYIvFJOXN
zRMJSMY1fRC6nuDT6DM5QToj3jKQ2S+joZx4tr4iYbQ2MdYxP5gI4U7b4gS4ugNWLmWj7uoYN3nW
BDx0oAPkIqTsfblhUIrI3wPIwazS71ofHaowak4gJvtfFTBBv6OTa0w3ymEocWcQm0Ivs4g5wxg0
xF1IURoQWskRKtgMQxqQImckML0il1P6PoApFlyi3HCmdQ/b8M5CgxKcQFop8zLE8cwEHTy0S2ui
uPeKEdz5HBtTd+9XoFOefXT4I+J1tB4QQAQJIts84ZUnMNVDhI0XJsH3uR/aynv0xwzcAZULXROf
dd9BQ3Qw7FkePOWOG2hX4sB+lt3ImdM2rTt3j4mMkeBEi3ljEKZ3aXzbJUOJKck5QipdrUu0DAMP
RF8TwuYAeUQTRPkgzWsoaMxea//e5IVf103kb1uHJmmTlv2La3XVOYuj4CluqnadEDbABLp0gkdb
BZi4qG5yvuECkc3kVuWFDgUOfmnbsXdg5OjytZYtqVZE0djtrUCpfuMiPkdmGsone2jHap9GBgDC
gsDUEd2z4yQIwuLsCHZPPk1WH/E1QyUPtt7UdQ+jjIfyaE0uJ0QxBx9scyyWfj3Q0gO8LYNDGpn+
1uL88bm0Mu880WC6ne3ittLWuAepih7aKwkNy2d1QcjuEhugztWsaFyL9jFwosRaRbl/HlBYf2bD
iB8CLUC6dWW/B0JpVbtBGgnalNqHlGnr6iMIckqwQhFHn5rDgUgZNqhyDDVj4qiOra3ZSHtXSb30
gNDr1Xtm1IF/pULseg3pit5qGHFXJOhR1xVY5i+kKHxpK4OeW2tFGR5MUyjAMDJFwk9zCp7HD4ez
v7Db/owK/vOJh7PVj1BfidrRLHBuHO0iBSYvVVOfcjD0j//8MtidPYfgBK2RMf98mX7O8oIYn+Go
x5r5MwYIaGpTZeu/+TgL9/nnA9zy/VqwrE1OhJznfr6O5RmiRa5A9luXd5/jZYeHKcCJIJiIpVyP
RhJ9TXt6JczQMuH+zdXFcrd+vbyWoIo8V3O6/fVjRuR7Gzir2qNdR+UO3Ub7IFxwoXhqZx7SJr1z
KyRGCebC12QqaHNQTfSm9zhTXdjfywyw+OlSeOQgfPbzeDtqQtsdWdFWMc0AqA3sM7rCxhClNw3B
fAnontmnrRUWDG28y3/+3v78gTgJm5oju2m5Al/4z/dzRo2qyUcvjzORCmgikgjVSl9EhDbhM4Yb
xDLuyr+Bev/5ohJYlG1ZLpWpoxfE7o/PZI330O7p0HDRYL5ILamlW3qHwSnSUwXV91/dib94AZYj
/c9fGRezTI8PyG+CIPTzxYDbga51s/Y4wDvcqlp8jImxy8yx/ZtP9ec3DcE5ZQgh9zQ5pFr+/QdX
O14rqyyqKIcmjkvrxrZKn40zt1R3+M+fyPqL+0c2AKdIykSB8PiXLy1IiPVRs0qPrU2zOewoKYgb
CIML3Q8JMlZI0ew92osEtYdDc5MMnbRvMeet2YjCD1Kqqf5KC5EBuhgfOt33+rD+Xiv+5z/1T/fE
sgSPlkdjh9uiFhzCj/ckMGwyeAo3OiZhaOpj6Xbt7ViMHJb+8XWAhkEVgcDMZbxf7j0gkqYKwIge
c5/DwKZm6kyGmZ+mp+/X+d/d7vt/j47BPEDz+vzwrSxk75+425vPHwAyPucf/3X9Ofhc/9fhc/81
jX7sFFr/+i2/dwu1/I1aGuAae6nt8GzyePzeLdTiN3qFNogIFnnXFQuf+390C83feMuYOimpmPuJ
f+MyhPmbKYVjUvYhuGQe/c+ahT+tG9pWnslO5rBu8JewRv6y08RxK5gbwYQY0DfH8bh3bHLAQEok
o73/4T79xRJl/QzFXz479BGWQy5o8fA6v1wrYBZclKrxGTtxqNQ9RhM0/4ne5dDrZw+rrKnW7fAJ
UKehZ8TYiypQvqSB4FQ+YuPAtJeLv1tmfl45//irpLBdFjUQZ84vL6/PSMxzssrflghw2qQ6Ip9s
1wOnHiuowU3BTzQ4r9bOzk1QcAfIB328oX5Q7lWLBKz8vdcOMeavseji+z3/91r+/S9yBcCQBaNi
e8r85S9iFFcioA/8bTN3IXJe+xgs03bbs/ybkRUG1aqR3oAH7RDSOPMpIgtu3c6qo3/T424M8zeD
8+AdE7f0LDvGQ7YdHUudU9MxRJL58KbHLyBiN33bIlLLr8hPj5IBrSgheznDcBSWnmNgUTTXIsQ9
4tKZKBBAhYxHhboyK2NDDN2utPMNqZ5XxOIiGsPub9wPorina7URcBsRG2M+mraGiW+381ZQFU6B
4++7qrg0jjig0l1V9csyITdCjln9uwEnTNM/tgd5KoFiCvuQeM9913/qO8zG0DNABYz6aLfPtLSO
LjlGwM32sm43WZOOIJPuZpvtNb5OXbX427GjTttM+ydKVTyS/srz08ukhocMQwIV0G6kS475Plt3
WM4qyCc7Y8hW0F42gvM+qFIalPVVjx+ikd9GPWxcm2umw7Ys+t0SttuoT4SSnmJOR8Cy8RlAZUs7
egi4vJGRxqo41EQ3cezl9nAZz96U1XBf1OqO73MVG/LQtRiGZ5SfmjOAiOuNVWFvvhF5hZyIwCBs
+AMUAba9U2nzZvYu6BPcztFDMhQHo76eygWjFX7uY39r2+/VWLw19LJrNmYXfGfg3TREtXnTbVTn
B9dC2uXqXZRBfvCxY5ieKh8I734LdGZcTRXfnO6SG9pWw72Yx6JdI1Ogy+57t35mF18CWaHBL0tu
WtZTsK0QbX4lSCu84zxTfPYkAz8q8OWl8cmpRst5BKX7oNGjPnF0748NDqDXocda1Ekv2A/Dcl7H
Eh08Z2VCBhQk/ZXl53O1Egn58StfddmDm0zdDuGmZjefDSAYwzhBrC3h0SgoLYdcZTS/RjwxC5Yq
ushO3qi6ce7qudf3rciq3f/fJP9XkikIi5Cs3P8qTv+0Q/Lefv4Sfk7/kiL1+w//sTF6v5kmG5wW
Hsuvaf97jKbVb5R+iApNJmzQcpd/+WNjlOymmDCkqaErCWIoKBv/GKNJ9kz2Mtdj3VT6+z/9A5IU
e/Qve6OpoXFYjJ4ZpMGCsdmdfyzrhE7ncqApTHKXT4iHbqAvNR5tS+hn1RdCK+ttbIbe81CRqOUs
60Zm++1GD7F/xAAkPkymxIekZzdllnUD8znb20gL3jBO4mJga0GExo7zpWqJUYCM28BqnoJr7C3j
PYhLY0dW+/d+ZFt/eFB292PY6PuSDNdhG5rQb308KsQ72U64o8tN0k93hUsxRfqHdrYbnPZYzQFG
JMgAE8Hzu6j0wL7gui29oHvBcud9JIbTQYAlr35fG363k7lF3y2FRfcRRLb/9j2le25isVHOSL4p
5vYDJ1ZGRcLM981YdZtApIi9I/cG8tOwnbBmHgoAq+hlO2c1VDYx3CBhbwcHeI4X00JbAeKZUIrn
8bya/ah86vEJf40qjM+tachT5XaPc2N6n9BmuqRkVzbxmIpponAKX67cCJEjPrG61ltQfhBEpizu
EbNP47otRPLSEKF9kkSLnPJEfKn9DE5LEkWXKMQGF2m3eUhRjCI9atCn+7OpwH7riDUX9JLwA/dc
RY19CdAHvZMUh+lzbJTxrQd1epVNbv9S0Lq64gvncypGWD6w00CZ9vWgMCZttKsKHH1QRX3T/Tba
CbwHJ8S7kvZ9dqqSpXeTyi9DNmDhn1O4VvRU/DUPvM2NMvIHOxPxLkWei5W7M1+w9nBkddKK5llf
bMousa5kGDYH2mjVZpBQEcmmwtUfAFfse9XDWiZG76wM/5lAxGEDIz5DQJW2q74pEbvOoXwFoZwc
OnKZ1+g1sgWehFa/dtnvHKRIq1oMRJf7DQpPLTZiAJSaqfCr4Jb4NJdKdW1ZfXxknocxxDcvYEKz
y1DM3ocq7eBp7K2AjDiZPU+jSE8uTNrHAbwN5lA48Re3Nzowm6a4aypJaCb4X4ykhY3NxK678qNB
TuMtOBiiCspdV8biepZY6OPBGa9hdC4BJIKnNjK99AkspKg2UMbmnZFxz4hANDfUP93brMLibJAI
fQ+OQp9Rt7m7aTDrlRzjj8penP3E3JeTJvu9RJyVZIrAFyM4s6HEm0El4R5zRf5kwUO7Dvl07VoZ
Pa5wH1EsYWtxcI1aNbiVs2Vv2lDiJ5qsGYlnDmtz30jiY5RvTuChY2utaZ1+ceek8daeMqoDzC17
h1jVxaqT3M5d8aUh2AOfb7w2zGEjzNbY1cVwlfUYUN2K9jyV/GNI5RVYuQAWtAwFRegYmx/W6r+o
0jk+/NhJILGFldNEvYBsAIie7bL0/rjqAZrRCINYDgjsEOGqV0Aw2WfzPORxzMvLCHBhPWTM2Jv8
JUWaH24LoiCvbYTVyIh9WFIQchk7ZCEE6jBPz16/wFnoZScXmvr5S1Gl9a7RQyS3WNfsbNu2NU73
FkPOvff9fU6+v9sypO14zHkvnGOzrAuDmhjrD70kThb3RPL2nz86gKVfPvsi6uBIRFuDKpzN55cV
fzJaGz9xYO4tFTx4BG6AAZUPhju+cRqLV1ZBxpwC6XbRdQfIC4kF00+kQjwNdYnhyQhUbW3VDMUT
f4PP6EIo8pbjtP+aSDjjMGimo66Ggz2mx0rO1bgWXf3mNu2uQMS4RyhxIg4bEGsSfamo4wC+Wdnt
iBf4SPOn2jDFYNxpNeFJIOhCPZVA1kxqsHZ5X0uybRKzxbqZiLU/wGrpHey+yhszLGmD90ZnO3+b
epIIBwcLj2DMfa2ID7xOyUTahYOV7Yt20C9MWfyjk0n/dsqi/p7/qnf13EUvsSWh4PTDvPG81t3O
maP2Q1cSdu8M8iLwZhyD0AWpOgBdo/4VwcNEF7YHaR00gElxf8o4CXcJZ5k9LW9I1Wyy21QyxmcP
AipeN3793ArQewESvudYQquo0tz+xsE62JDLlJzRdRI3VKqYBGN4ueuuEerZaJW48WbXeJDNIJBa
ewF7i2sWX2Eejc+OUTjPiizgW9h19a2LO+hkzpl1kJYdXkBn1wfB0SnDddX2oQvevm5R3DYjZO7O
Gu/EMAx345Al1/iOumoFezdCII8JOgXWu4mnqn7oBJMOU8wMsiEWvtul9B8L3y68tZ8+hW080Ayf
yRZFWjJnb5lZDlezFNhFCWGCq9GM55wZzyXD2bhznTS6aGj+5Ixql+Bmi5BqNPoubPi6Ly+6HPyb
xhjKO0cPutoz4poOEPLTjbJlvq1rBv4kZiW3HYk2V+BfW+JO4CtlgSxPqP6xJi6rSFr5lCv6yHgU
p1N+gyX0YcnjqIY0QzAxXY2NY+zxojB4YZsgJygB6MOaFTisXv6yjpGPESKmM4xv7rLC9ctaR143
JJmaMCOUdsxwUrWfvy+M3fdFkpXCxvnNylkva6hbh6wzaSRmFoLQbBFrst5Oy8o7LmtwLezxlBPA
gOpR4MHJfYJuxTCxooPxvO91VZxn0+reFCLVDfxcvUmMWuzIDWNjiJc9ApcDMpLUwrGWLHtIRXPR
OGgx5xFqy2ULMr0SoZ5nTO2wAUGtHyezUDdNmdr+BqcYpPE6BBznFlai9g15ISejL6HzL/tkh5OT
c/Cyg+Zl4L7TSqEzoHimJftUVJ6RlPasobAeDgXU3r2PETTa1N+3dDRIfLFYVMMNI9weTEylcZk1
fEX6e9UwLQWEQSUxLyWF+724SJwBw3qn1SZc6g6T8tH3OEKD0sMF7Keuu8XfPZ6z1AIb4xnj0VfI
lpEuZ/uS0mfTu1l8jLtOtKvODWFG9p69zskEJVInTZIrJZr4KNsCBRbKn09hAYEQRZR7n0+WT5Ra
EzY7Edbe12ouxe2YDorsjq6/jUjEejLArz74qNybTWB2+tiSyonhHCv8JjPt6AaM4IDpGCbEtWPI
7lAD+LiipptwmzB4WebcQt1m6ClOpV9m123XMzAvB12/j3X/YjqE2sAVm8J1ghEO+oFr7d2xDx91
wAePOTUca6PE6BDGTo9CymVMWjbMxySBNLdqJlJDY1l7yOLCuWXER6aCZuuywAA+lshHo1VhQsKT
RgSkJYMIhJKidyFfWSVpKt4YN8SEo2tzwGEASonMd3iP3RdZ5CX3eGa4QEEayN0wMFldOeDcsTBC
FflEhJsi+5o7vmY4Ep1wxyfnoXaNk1f1wwHgxHiKtQHTibEbXe3KCe4iaEqv1ujezgxZHmWKdmIs
DJT1yHVPKL2xCw6269yFk0jeYom1H0GQkitZZ+17oMAjlF3bbE1NeIZXJP6e/8u7ybR0y1+ktm2W
O2dRejz8hm5TtnIzujOIh1rlZK03qHGoAhekmX27ADB9lDFr5RDCA+1iUbJ9NYVh0HgpYLeyJkpj
U5pxsXOjttoubf2XoknsUz81HWDYiNgdS3fbAckCP6znoxbgrVfDYntzKdi3uGjhi3rOyTPtb9ng
vU8jHnk2MMKxPL8Af10rl7cd1uMqj6vgPszktGflobD2E/M5hrYAeCh7JqlJvNiV1R36Li0/gdiK
P/mNWX9NeN83HiPmQ9/Ob7lnPksHEha9T+UclV1cCWe4iWnZUvTDwezAXWyx0s10/FIiY7ZmD/WD
Ng5U2XNd2uXRdVr2XR+goydTeZjbMt5a+I9eI4Pn1Jxt0OOD0TGjcPwvokZgFzhuPMALWcr6OSfA
bxi7eT2GJKV0IblddmXsHCiGl6jOojOpY8F07nKjuEcNLh7xlDfjOirG9muflJSLMmncS17lrDZ9
IOMHbD4OVL/FXBNjn9xpuDX7upAkUsQkEPMmKifaaK92+K2wfNKoh2yoy/okIvLfY7fhs/epf0R9
Ep8XntDiDqcdh78STRrHkZvEacJDTmrgFthNsy99IreFLyUK8GQ6jp4ncH5w/dFM9UtGJRgBqpy8
Kzit006V+FKl1em3sIqsPTghUvpAy3UQCyfe2noyHY6hyMxWZdHgTGlePb+7mrX5belfbHvLtz63
vaFvvApvrC4f6SHDqhDIse9FUE8Zlppo/ojlzGsQus9Zm1NUd+zts8itzdDXw941K+hmoRz35kK3
wxtsPmPBAO2EOjsEvYMHMyoAMARLh7ck1VvgNPd4vlNkcY+0J+ZHh5F6uSZeogNlCq6BFEC0mHzm
W+LUxFXMkR1UReBcSTsQ2DCj1tnYGLvzvac940GxVd9KKx8Ii3j3G4x+QzliQwvm0IENMdmHOkoo
i4z8KgMcYJsV6MIm9TUY2ngPPqxiFSF/TI2NscnUB9jBNN55CJvQ4k4YpQZPWxtSoi7tEM+EWGHP
F+j3zO7FTd6IHJhCeKQQlldVLuJvsQqukyTLEb2U5p1WfvXK88Xm5UztzTDr4JyGefkCH2TAI0Xa
ncLGZeB55Y1+nVUzPDmZJ199M6EjGhMt1pqNfSSqLT6xE4QXJ/WNtRvGONT9FE6VQVc0joNjW8cE
aeoI8Arit7soLp17iFrTG8zrGWtTkB3r2UbhGzv20mJVKawf/CDsp3p8wZjhEGKDlWPRGIQHCGMZ
NLmp2pKLgJ0AS+OD6Hx69UYByjDV9o5RdHywUTuskPXNmyn1p20fWSOpJ8rEm1i4jo2SyvRvVZqX
R7vqxl2QdvaWhJ/wqSZwbY8tW2Gm7QAs27V3CNKUaNwiItoeOzaQPZWJTcX8YtuXbfxS9ZMKVu0Y
BGsQrOBxWURXyFnnXb9suFhTqr1lJU+pMZUnNBTdPvFLCrIEty+IK878BKk+enXebOeuLE4xawbm
NAIDtyoqtFi3hB4gqSYlTJJtYbJgo47uFxEpAfIAYdatl/ETfZvBY/Zz+TwRb7JGjwM7JsjlIUxY
IXxUpZumRRyEPDE75AIbTos7ZmW5CUxFgm1KREUVrewE5FmX+Gdh+f5Vjhs198J3RWMmTsxjwPze
Cv1znfkJ/dtRbol1fGkzLMkhsvRtqubpRIcvh9Xr3XMuXwuPdnoiMmIOHMPPrsKF+JENvSZfDRNv
NCogm1jbOZu7SXoOGcFyC3zrONSFhb66jykYmvwbwSrjyhkYw5L/Yawxo1jlSvqIr3K88h8iLZLX
PLKJiakS4d/jvveucEymt5xV2rONl5k4TofOknIa+RzjVlxDDylfM2dBNpRpcUYgF3P+K+NDCXfq
AG8t3dt9TZse09ShiXDkYL3DParx69jejKUytva8YfKp5bh22xp0y/Ne19soo/cReubKMgO5auPk
XAh1GpvD5HI/u9x7RVy2jqvQvRd57+1BVMbPaJpsYmTT9KKjBmESryCQXgzu0hn+Lsxd/NVRGLec
K2B5ePDYfxlCDXEufN+WGD+nqdkqO3a+1EGPMrxSuevh2eL8K+FhIDjKgfHUiTcUmzAsDTykyfS+
EPdq4hBVSLZOPCMPXvqV9HQwCnSeSaCJFc62scq/dzhNp4MW5I40CKfCcU+RKuD4NJwQjfX/ka79
/0WRDgRRIvb4n7fjWcU+1z/Op3//gd9b8K77mzQZfNL0MdEbuUtH5A8ni2QAzf/skM3w+wz6Xy14
oX9TJBsts1xPOMzBfhhO27/xE0sLfikyNT2Jf+JkcZ1fMxSESQw1gEWbzRBXi/pF1lL1TtrAW5eU
GJb9SBLgvCFsLT+NwIU2PZrufV9lr2GSjaBjXPc1wh9yAY/FEb3lP+x9Dvr6KiS571MchhG88Nm5
srxc+ySftstoU9QhorbacWg2E7xFLZo6Fz+BI7iiVMyPCbm2+wB8HGNpp+AQpttP5HqhKLU5vN84
2hhvcaKSnkmLam1XRbJjbRAnTirivmuG6mw3eXHCL4LcCcjZMegnjGGWIKwOxqqwz2XbxOc49WSD
UNPOH/FxzOYR9YtxNmMuRFJR3IMXcHCshCrzn5B8VvtMGerseEX/RogYYIaYHEGmtHqKnklsNZ98
NQ2Aa2TA75YUJbysMThC5Kriw1s0IzC/s+JUN2OwU72TXM9MHu1V3HTRxcxibdMQ8PALFxr5HkCQ
+o7pfeKtkAZOdx7SnB0K5ZwF1EY4awJrYbXvmcHdBHhYvkGHMe59WsMI1SN/QMmoSLQJDYz3q4bp
CV3cJV6iMt2s3JGWins+CMGWNvM0HR0MqWBUgNMh9Ec8DFpVgjTRxQVdnzrGlgU2IaODyREflabo
iEZajfJb2C7sdicE7EWJZNeH2EiQ6BYsN6D2W5NvN+zIO6YvBAChwQIKriLXhI+bS86ehWG0MPWu
l7L+mNo0irgbiNI7dMpfysQaXq22d07MRekQcxS4A7kqnoiCrK8SlcQKp6GpDcpbMza27NAcuBMb
F/1ax4464RWfiLsaPXysebklpQPZOMtcdsLDpC92Hg8n1bb4ahS9ahkTY2SxKr7Bakofs1yhxTdJ
aDwUAiRcNBuwiF0EimIVK/gbJuPfm9IxoXvoxG2vVO3Ki6pAB5qWQbyk78NhZQgjMprT3FK3dgCr
WIaHBzfokAgnXj9efAJTMnP236g1kpOR2ParxgJ+Ri+eHgJRC25TYXnXNau1uVKabPFV2WP4WOeY
tMgs8NghERRAXUQlz4R35TbErzeYJHDkOo0gaKyv7+nFzTt3iklRioyNKqu3Enw84ShFtoEBYzxX
dj1SXhUnc+yMne78YqMm+6ZNGPBiv9tlHo0cv7Y/+Rwssk40u6LQNVkqOrzQwB2AYlRfYJtX15lT
P9Ca/eZFjb/2ZbKlu8WxAqNZO9vDTYZLQDOxWFt0CoC6OLDFnC67IVWPpx4dy+jsBiFowFTQewFs
jxNH3Wbej+akWxxdGJdrSt3BlMhB7SzkaDm32QV4i7PlNeyfMGbkV4ZJgFENp3qf2m3X3bUO2sBV
wGHeJY95ERkExui+dWA+oVjQP4WBRNPkC8Ao09ywmoC2Lsy59U7ujABkLztuDogw8skw5w38kfwQ
rYZCBi1gZjl0BlDptg5x8erkA6MQ+gwrNmgrxorHoh33VqbsvdnbJtauyjpaSwJ8P0DhzgLiEFbB
7PtPmlu77treXQ2lQgwPUbXeQIwFuLHkgm7zuO12E8Lxq1ZF5oMb1/Oba1WORK5T9+dMCCi72k9u
feH6O9oC0bcSKGULEUtB3plbc9oNWMW3tA0o3WaheeFl372WUIAOFU0ueMm0Uw70AhEPFwnRglmj
xRX2MxQGiRcdYP/WL7bAE+PXE2xGfwh2GX49Ko+8fzBTq34x0i456QyZ7kbEoLuaDoEw97+5JWa6
69cSQ/h7gIZhy3DgMAfqjCl7urRmkr7UImjADoyHbk6MBwTUCfExbnI/RRUhEI053zDUyPYuua23
VX4po/aIln8imYeMHhKD+ifslf2uIfqB4+OoqyPMMePabMjWO0ueppuhrNML0vK4XyedZ53sIX31
aa6/aiNJnquoK664zcldlsz2WwtsM+Fsao7wGAFa3gQhtMiwJ+Z3OTY2YHAh/jOyhngGvhWG8ZzP
m8Gnr2573TmdZorwuVfVijHWuTZ6l5MXcvOHeUhSJo7Z/ODPrajXkNKTTy5JFdupHNubLLRxXqbZ
DHKJmfi6cWIGaEnYHeEn8yVlTKQfiO7lKVuuTR6cvG3zSOwCqLYHYZXOF4ssw71DqmNJqiNAJcLZ
cuLSrbEd2Uhz46JBlCwEyXTfD2z3ZV3tLCJ8dgwzhvvQa5YTlBEUe9d1k6M3T8Het8NyHfl++snI
u/kJIr64kFXK+m7Bc0cqAwdknYfSOgam/IDMnmzI8U3eVehWyXYGkfk0wuYL4DZ4Zr7xqlpfxtKN
r5hyTpgpWFshF39mzBXxGCfxdWzXwY0E3AAlcPap22lQJW8D62m8TkJTGtspyIs7bbsWOlwCsB8L
lA/M+IusO5lN7ZAgkvRPY2x91B1E/H3kNwawE+hW2muCr7prg13uLC3cSYDkmRobKqc9eCNucSme
41oPj5ql5rM/6ohFV/SxXrmJiZtOx6p80lOcfk0lJohO4qOg7YLPLWut1zBGLXGoYwg3LS4KbOXe
bgzo47sFDL+5VP2L5wfvCyKZV4v5NyjobSZg5vZGcMgr68Gc+Z6nuBhOU+VfY06rVmYMvtrthhnK
Bk2qh6TmJTl0XqTOI9PJhx4GycpoOrGPc49s4JAW+QrATfNextk1Vhy+qEnUR8E5Zr9Ir0gQrI2Y
GEsifXMlhrvA55lmls/WmpGDULKnPOH/S3cWbGlywK36lgP9+JSUs0Hbz1OrJM1pBzQpyLxCGY/w
nbejTV+5Rkt5NzQqu64RH2FiiOJP1jSJY19n3bbu8/Ijr+MEnGiT41js88Ooc++Fk99041tO8YGI
Y9xBKBlIX3ec6QEPWXWgz01hIpoDOarhJSw6omD6sHrz8mY+j3BHvmnoVuvSVzclnb9zZrDd55ht
36ccpwsNNZfB/9g3y+S4N6JzmqEZp5JMxm++bw6XGZ5VtBkzw7kGu8pCAkPkPetrAYW5cc+Bb7R7
dATRrTNRR1lMvXa6tYBmxrq8IvsK8y0tvbXlkzNdNeNH5szEbZXVdefKFqxx2Wwmy6AcaIkHhPqe
XKCIEhTYDReKzmhDC8u+SXsBortkWS9Mw96VMoH+Hl2mNnzHF/ZRWt4NsONml5HHOPAGR/qeXgFE
4qo0rR0T6zNrYoaCDC7XY1axrq6KaWTyYhJMThlBtvJZO+2wI3vKuHfNSZqvQzm7+tQjhNnTJPf4
7ovU/kaRVXR7CIrWM5sUU68B+JlWQ0DGI2MTOFNu4n2A5bSs3VyzGzV2DxU3VXpjz918ZTbGVWLF
6p5icjrFHqdxSbb6pakjj2puARUzF4lwjgcWU5kBWONjmljBIWtaKB2LeWVo47NUpXPNitBuFU2e
ixOIvl4mayQb8xMXkRlTs6bOnK/r1oVm89/sncl25EaapV+lT+2hY5gNi9q4wyc6naRzJjc4pEhi
Bgzz8PT9QcqsjmCqQp373CiViiB9hMHs/vd+V4nKfcnYWd+VtVFfcr1ilte1dtrW1dSfU61CGJ8w
Np0sTYcEopxiNjZ47QQRbdjGUBuL7G6m1wsmOcr3C/TE/NJsUvyxi4h/ZZbsUNKUAmPyvUlurKLQ
KW+QUWxn3eQNLrzGHmK6i7ARzJtwFkSpkZiiJyRL4nMKkWoVCUujBJ0tBk1chzLN8qseP2/mt01+
MnrHPctQWCjDLv6+dQIC90NOsf4eqk7S7JG6LxAUsWRKDzgYjiPY7nkYpRFUKlz71C5I0yOpNDLL
KpVeoQcP8r6Z6qhFO6inzUgUZeW2pdxalb3zKBnBEaJAQmnQbdZTEtQ7Vq03Bop0YhodWoO0ol0m
ARaMcbuLjPCG6PFXhd9/HxSldhiTgDoXvKVCRUu1zhUoBG/VO4qiXKwyd2KoNVBfNUUIdhb4qQjM
dWalO205YrgusTQLVX4ocSezN+SZUFtRfKEQZT4zmb3hjDTypWy4OSKnCKIentgyevLqAQB1FN63
0TwxcwwfNLYdK46DQE+T9prTecFwVJ5IL1TMw7S9GUM75jDyTojvMrUTv4htuZ69mHuDCF9xNB1D
wdGMTJPht53r+PNQTau0jNqDmyIy5oOOCuwEsx/EuYm/F8R7CuXGj3s6kRyEmfWA4yLPDF9k4xvx
UZ/imn0LhMAnuH49w0u6waxTbpxIzCeuPWvH8NqDQOXpq2GYamK8WORQ3WgZDxT5OCtQtPJUfbep
RNchmsaM7SjqNrczMiSbUm3qGUrbVIIEth7Q55lOJj6fDj+qi3Pr0oGTGtMNwvsra1qT0lEjbmha
/d7S3OCx043uuUkK4GGUf3JgSVo4y2Mz0dg9G31/znDARhsnVN5jZuXjG6y94EiN+mDva0q22dDY
z6SJqZhqNduja2zmgENDgh7fOiocoZGa5rxXo0AyTD3xFDKlvmtFqNDOa6zrOy3Fseu6LmaoXmIT
Em6vniyrvTPJ6+5EK+/bNrWPLDCkLHEW7ceseqOLjhmIs+TXxwSfT+NRIiD6T2PqIhRh/GBXYWei
HM5BgbIvVPYySeksHBuGQWUd9K9cWTFlv4oUe55Hu9wZnd04catG6u0OuLFDMOnGuG8lKsFKRrq3
iY1aHfWQNZ9VSAyPoZ1mL2XmxbvYabsC/3PjPkg2LhaEqxybdEAp0J+xoP9ERu4n9fnf//X2kcdY
PJu2jn9vfxTTDAd56lfy20330f0efdb19Bc/9g8RzvhtsR1xfkfgIrz1Q0AEH6yFCkcyQbeNP//k
Hz5YnaZVa6lNJR7leNJYEl//8MHq4rclS2J7polRnZzQv5UQWfxeP6URaNCWfONdIhuCf10kuh8C
X7byJtGprtpo0n4JGIlCxYMIGnYublWO+EgszEc895Kr//cf3qm/8KJ9N+A63x560ah/eGgj0d00
FQ24EqAuqzCiHSACy6/S4H2oQJr8+tGM72IjGijBFARHW4DvMYxvkjfdCInTAvLY9nAwLsIqaGFS
seCM0ki3U8PsC5bFjk+62mRZJzee27vrVAkbn1X33JeEaK05fGToegNN5wRMZE1bor1qRfBUVYHB
W9UShS+To868YPPrZ6//xdP34Lwx/bD4rvCF+mbcM2rOxtRwUX6TtuWefCc2qbKltaLq6SXV8B7h
uZwYgqbmeOOx/N5ZbEyNsRI+4KxmJbrqOZ2dEOCveNGs4pLqmZ1Rpu+h29s0a8aHtmKjMA78XSNn
I1zIecZqivcZRGa1llN1CCtD3GvFAguFDbbHqOBPtFS483miHTJBrunt6NaygWFOw3uTsmMfok3f
5T5MToIGcXp2o/RWZdOdVX1MgGVWuAteR/gBO/ank9+auXsqkT9w4ykOgrJbFkVQ1U2zmJ8kL4Ya
+0cLtWWHky68d1JxLrQM963HI5tVn10atDO9wXJ3dyV2ZEzVbX00MDxDOS2EiyvUq31L72LIFC4b
2myoIPykyKRuMPq4ar0Li8D3JQfReWV5SXMzQPffc+MrLtqmlK+cQaksK+LyWtp0UHae4shB28Tr
mAZ0xwyR8a7sGThg14qLXj8ORjRcDWLG6i1k02xZncstmbD5ooAFsRLAenGa6VsAS+ojjpOPOKQM
Z6AFcm0YFNFjZTxrDVTdcoougAW/xDK6qCzvgXkN8Fo+GpuN1l5v+AFFf8J+yAOOWXlTnUjLIlWW
9y56yd9kbpcpxE8Lh8R6ZHEJW3wliUsvEbYfr17ALnql2gnyVJYVePcw3sABrlqqtgqo8bsl4ngP
g3m8pCtNe43YKFQrJeFuIveUaGjmA+NtYkFBcRy6Tn6OMMbvzFRkuwajNRubBeLL3veJWVl3cumb
+/rjmvrPTe1vbmokGLlxWL9MefifWRT/eEv7fz/0j3SHywDJW8KLkE7+CDH+c7TkOr9Jsu1UYy/B
ip9jj/I3yQdre1xkBE1+yj3K3yyx3PDEcsvlNxr/zmhpmVH99O1ENSV3YhEdNrn1gnL7+dsZF7bK
eXoVNudlo14NVXvf9eHwHPVtf22Ow32n1dptYbbLXSeLFCAGrN220mHx2UOSvVBj1r9BjI0PQep1
G+ZGRM5m3JO61bYgAWP7PDoQafj1dCFBfbgJgTp9Jo7zPnSN4w8zZd8V4t5ifS9vlDcE9xzhINCC
TXwyGQ1QaIPeh37PtD9IuauUlJWVWQ+jlTKykbHvo5k4gjQY0fkw8jrfY+m/K0vvedQSVO0hLDmj
0L3saNqwA1VNYNAwYr9ZVotuqu5Ejn0b62m5MlXr3SrIAn7XtRUZBEvbNHTubsKhoRKqpsg3DlL4
2MIbnoxptPeQ5rMvD+4kzU9h9C4JUa7k1LTvHXOBe3pIc2oiA85OlsPRz+pNF0EhH4ExUkCjv9L8
Na0dRnUbgdx0OYCdpRAUI3y+BtQxvpqcxEl5eDYJsMrqxUtJUIgCD8WdR4Y0RUFvsk922yeAGRl6
PALuao5RpcPzMOWMFWf2ym74c5PwnyXh75YE05Zsz/73MfP+rZ7eirefVoQ/f+Z/lgN7yRe7rq1j
V/lh0uxav/ENINCs8xB/XPX/M2km0SUZMRPL5aTF9tf9YdLs/sbXBuCBbjBlXv7k38h62e73XS4J
fo8eHZtHERJ333Iz+2GrmeoGBLSUBoik1+Q1LImBWq25yLeU5SbPIeeoF5ui10NBc1S6wniGODxa
Jg28Vb9n1OsdElW3d2xUo6XOL/EeSzS2Z2Mo3Kt5FtZDzC3rNBDnPky5mbyXsWbSxhCOh4J/7p3c
BlUqAUNN60pvrY90nKnf4sbWXpGMNO6BA3IijEGZQZdXjEAwrtwbmU4g1SNWu8jcN4RpuHoZJxJG
cXJaNuibdHAIPoJway5qeDSPaCHJCTjNNmbouZLUCdOXW3GE7GOJBbIVvuNiBbVTaeDURzovMxms
7dCuFDuYMqT0wCx2cUM5oTWmmW9WXbrBuJnfxW3trvoxaa86cBg+TFVfRrZaTbEjLtGx1ZJZ0i7w
2Vlbm6HmlYXhnhR4mt71rWhPZYs0lbhOQbWn1QCiafSN21T9bVagc/QtXhmmQh29aPZV0NUZKMUR
ns3YeS96bZk4vYoe/cqA22tU6XWWmfXeXhSytl6SxF07v3m5la1QfmnjAQbi419mmje75LRY3S5q
7j4PQaq+wJ0o2y9avKgAj9LhRWDdemyXe8MUBc09ZsTgU59xT62sP9aZ+I81Z2LXFx8cWtXJmJmR
eMn/WLqsP5YxObvjKymBgX7QwIpvCoktL5b5ePQgn21qcoYTGuUsY7/sPM+HiTZZa74jmsSnlZEz
Vt1MBy075S99WXyDXjfgGJU6ekdTFpfmsl4Ho13dZROfi1XlYt3EVBGMwGDnCBMUtSjmKaUigOrI
on0aEwdWoPS6J7dP4kek3dBvKu3WcBJ1TPrB+KK5zF7lAIHHVdJV1CIl4UQSwkg+oki+2uyGT6qe
aQWgU/FoZPhLu4FaK9xMpa4vEDJ0IddV9qnvu+Q2KqVOH1czXcAsd69z5e1KLQWoVeDrH9ywv+wr
o3irmw7EsGEN+5Bd7GVNTO1AteyGPXvAcaLhFoyt0zmz+y2vh3aYtpPjjBdg2+yXyKwduUnnXnvG
aB0/hipLD0U6DK856I63IYDPFDFJ8MtGyuNgVo0fe9j9Hfscj3p1a/Zjvva6rH8DTFY92iO9WnXZ
mS+KDOABo5k5rcgmuzpWP0hmVo5DweevqquwYUfDHMsKj2ZEXSYofXVtjzFiu1TqKfCwlHGCEt3e
qEAgrgVB520SZJS2iylh3Gbpt6GW6yHAyxyIpUntagvCkOcrAGuuekMfHp08di+YG00+U4XyFLgt
Zoc2Ma7jWTYnVXT6puUoc9FgMINXx0QoXmOVd05pFNITEGSI5YAJ9U+Jo/Ozc+zqhPmLJr6BqlN9
bRu0cfTUxUGrbBoG8KQphgd2RwXuRPAW2RrZOnV9b9I9P6deFje4mUCeMhcdESexfTKoU96UmSm2
HWTIApBfy+EYSoCU6yKJ1KY13T7GFafJq5ZJMdURLMUv6BwzKe/RgUiQ2gtbbZpDLfB7YgWow7FD
H2YNSPmSCp/yGZYPaTIGI1QhaX3x0TCWHFGZQ+PVqu3RXhWqiV7GUprWigURFrhbJC6+k8zo3Jep
sLDHRpopH3SYVFfwsIbnitROcREz7ySvqpXTQRuEXewwLZo6Vu9Yew/L0SixFCn3ucODw9k/k/WN
WLRvs5yWRXsIJhZGxsigPWnB2kJ/n7qdNMQiExue9uIQXEQCKCltISbYwAsELZyTjY0NVa9NoVVX
Q4bjbzOOrTluQkOnSICIT1LvJmbOOJMMu7yLnR7lcJAzEj5CZPNOxthLVl1HxJQ2F9to71QktKNb
z/m2y1Vbb9wuwn6RVIC1RUitFcyKtHsh3cd+FRwqLPahGyx6AZslUdFpDqgBDlh0eGV6gkvBtHtm
N6l+wXTROeh6i9OjId3xVZNUeKJRqNmVTEwzvMSMYlbpWGW3ceoGTx3Ft6fMs76qSavf7Ni7tcZR
lKuZnggU8ax0tp3IvYvO7sZXcrW4mKyud16tTjSSznes5ILwBD5dN8ODpZPjD1I5y5swDTRmpFbO
gTF162HrJR4voHajdpdmXmutHMSCATk/Tx5w74xH2oLDR7InSDRdZjU+qqwYmOTVw6cuuauY3jC2
azhbYhNFg33SSG27K8BDBLDavLMPmgZHEg+HI58V0897isKIbuSuQTUb7efjuows+LnYJvpdAI/2
oUNiP5EoBYSV4oGONwVYzGfb7XnOLqSmC8dqwGfMQP7jFVbQ5oJ4T/WEQyO3DhAsaHMOXLoU1iax
AlpCQbBdpgUfnGZmWEQ10fAEiXdkH5XW019PG/F8VWg9V0wb6NlTUmTdkTVUfxN6Oz3hSaNlu7Am
vEDunLD2Fqa1HvjVGFHKsXvx+Plz0yP7ryK8nDs0Se2lyrhDGRN2srygVlWneGJHLst7DOdRexDK
y86WCQiRzjLqSCLEmZOZFQFKBEC7Txbd9poaS6YTjNraxx4dqvXn2CxftbRUB6RNjAuVqcw7O45g
j7Aqau9FRRAUU7SoSQt7hWatjUCyVcC4k73FeMLVTuv7hOx9O3n0lsUlwcnEyAUm45oRWyGKTzey
ZP6kU4CKk3sa3FtyhFG4dQcGc3Wf0OrUpmV640U6sNeWmoFmbYX2cAzanHh5kkTnoY0YyiF1QjmF
LoiXPHvns0LVn0epHocG2zzxgBjzgD7fpnWkqVVKEX29wk6zWKHwpJ81N2UkZ1SaeFQJAdA11Fj3
so9meB9j4LrhviXn01GWaTABSzsnbP0gstvrpcebrye25nhtpFHwHDgERnOPkBOTJt5ViMjqsWtG
59wOsQc6OOZzT3CI30DXm0/zKFhRhbSa206n1XOQAefSVghj69Q6YYKBo+ghXirHE/odK/QlxRqB
Z9CFy9jpW73UO7U2+zTeJLOgog6i1nKIrRPSW3aAnVcWxhv9dOWjVnl0ium4Ya6ceuQdIUBWwega
eYeIjcR7fQzlWxoTeUd04GmFdPA8ehz3eH+jifYvyw1/ZwpC+1nWeY9UlJKgnCuNxa81rtLZTE7Z
ZCO9aXY244RO7D13WpUyGyGyRXUQXqxdCSn0MvBGeRwBM3hrzEQtsY44al4HOGCEk0BJfmXKyz8D
MgMXdqCF73hdpmkdNrN3id/iKpKmOEwzNd7/OTR+/v+gQly+O1DYfnVs3HXJW/3200jlf37qHwdH
jocuRz3LsZlnMKHj9/1pUXbkb5zYoJEYwDmQhhbz8j/xWdZvrm4w+kB3lIsGxQ/9E7YvftN114TH
hcSPg1m3/p2T4zKC+HE6AvTN5YSlcxLVDSyi32Qkz4h7p8mwmbQ2ItFqxr/6FDEb/hvy2/dJCP57
hzZBvNauQ/jR/PYwDa6cZAipWnaw2772QpNbyglCNt9t2u/CHLTnD5/CzZ+v4P8UXX5TxkXb/Pd/
6cuw4+cXJh2HWYIUguM10K6fD8RePqeYDwLq2/TRy7ERCcCTnUaT0KpwzcLP2Y7eSeIp+zaQtzBz
PW1V8VOvxWTqO1F5yUXjROaFXvXGBlkHsu2UgTMI5/lSH1N1+pvn+y96Hu8QHzlGcZBmnM+/zYqI
TabTMOLmTYMy/xio41tj6eWfqVfQuK0FuBhD1xnwWJcfNW7KD8pSh8cpTMgGdaX1FTLHfiiI1dFV
T8/ar5/ev8Qplg+QkQsDJguslCH5Pv6oL7heJahsmZxNR7XSKZ512rxJOZi+2wwRvUiEklYFZMVj
tmz+hCa4N4TYPnnOch+NlovmFubXcM2Puq4OItLOY4ipmhMEcdKVU/XpC2UVcscoAlcUTYfvHVT8
XT5V6vbXr+WPQdL3rwZuDJRbE3Gf//35tch4HkTbmfZGdVkETauGTzWORujjnovouqOpZCm5tjda
2QwfhTNQdpvlBTfrIkdGHB1PO5OrbF8cREFtpdOam6ea/TziXGoa++TWsUFrfdyv3UwLKWHr+kNb
Aquuw+RF2RX3wMB+9uzWvGoBiQBfv8aK0u8VCbgD5HXnCg2wurRAuwAqZjtHRwQYqm1E1nWFtcPd
dBMl6UY2mCeybtGHhH49r/TOVEfbqbCz0qAcriJWI2JMYmDzbGhe65fzmDz/+r3848L99l7i2GPI
y+RRN4lO/PxeKhe7BNMZe0M7R35dirTYlskgLlHNd66pf2nJMF53Ewm6dT7KKN8jfQxfDgQNAANV
e6pC8OpsMQz3MLCB9F0Nev6qKFwdso2pbuh6IumKAXs8hiqfPrxu0DGyBrTnZqP2rJtpeKkY+oVr
9hBiNYVivJRpl2zbzhF/88VhZf2XNYUrc7klyAWx8cef/yCyKSlU7y4XQYNqdkWwvCNXRpXagc1S
fUOJmretEOpW7F/nc11JTtPKZp8OO1HtUVzkA/7/6RMLn/g3J81cnhIoklzCK46QzrdZVRZOeZ/Z
g415liYQsy6/cNWCmaPV2R37P/Ga/yvh7y/eBmlh/PSEgPLHkv7zZ15yf0Duae0NySr3WeBoXK7i
5PrXX62/WBB/epRvV2kGYoAcGzX1qRnHn6JsysuJFLECGcyI+9eP9V09Xd4+nMzeckflXP191MdX
MlEK+9WmIPN9NLV8/php5bu0alPcGmPDslvgvmLKIERxQy629n/9BP7iLfWga3quZP23+Ndvb6k2
ECOIbHuTUV7zqAOdYoNNo9+vH8X4TrC0Jf4AAfyWJdwQ0v3GhzFYciWtxjRN2fWtaoylFG7aJXF/
HvP70ouvmT2vmR19LLOMLsq0a6rYcOTPJY0z5jD5XtcRPeCoeCZoyCErxM1mj7eNoaiXmDh9qpgo
kQDxqixMQZxL59rPh+oTH+j61y/m+/fDxiqwOJuxC3jLvmpxQ/xwMaJf4txwQGhxXinXeMTlijod
mkMc2uF+/VD/8rYxs1tufDgUEfhBB//8UNEcGJnbad6Gc3x4EUzYhCkQ749hXWRbk4zNnrfa+5sH
ZSu4LJ4/Lq6OQDVn8LysrC7Wmm8f14AB0sg5BW5Qku5piS43ZkjNlxeMwzPsRsoN9bG51cL4UIfD
i+sVyXJENN4SxBdOS9GRvQ+zJekSI3VuGqWEz+K2jAzVLmsLEopB/BIYzUvZU9kjBiKMMkUcyZkO
VFD/V+4wHuy05xDqNuLGcwZ8+zlRsZjo9YrjjAbCahLQXQL7JEuOOGENS8vQsq07DuDwA+QFU+Xn
riKqVlQheVZxy7ALBhJ3OkvehYy4rmfnDYj/RyHm5rqYc7Rr2w6fCRh311qVGFt4OaEfzCSv80ou
8A43gVnvUDCbV1nyMi0NvGMXF5RB0WpBUNard1aEswGavWm9jLEht57I75Xqb2q563idcRLqvwex
XW/sAIpnrIX5K4oBnddtZtdbu0rTTRF7ClecTXiWxo8rq0rSG310ApzASdVu9MTinlt3xmdjpvJE
bSm6OcoJJsYUnL6n98FmHpDI/IC71CvG7GETN8UIdn2iDMC5wyNHT3plQlErOhrC13MVTccaotSZ
youKGAKuUloKqDKAR1fM+EFoxHKY8uJwHiF2TYb3NQ3IKkN3j5XxM2F3+RjjeNmaTH42nuyf8og2
6nxstg05mFNgVPpjlSTmuU/hUKwmVeb8roxcnTeTiTWrc+7Nj2OILNjDJNi3qq7JnIW0sqWSglxM
v/11Pc7kb+bMviFak3/gFW+uuxo+IlXT4RcymLcjftPsGYuqc5NJ/bmoVPYELmtHFKRktJyAAynL
XJ0xKS4MWNznSHmwcXw6WKaHLJzbsxlM3YMyaCCqtHq61yIy8ArF/UpTVbifR2bbSGfxVYfkCNnA
EFBHc5dHdhSN6Vq3SYcROjpZhjeC1PWhdEr7CqNh5Ud8evsZ/8w56rL3unen92R5hWim2g4L440I
rd1c3gudMYDEQF8F0ynQ3GaXiGQ4QNApfw8CPbqneoRZsNmBqMKy7ZPK0C80eFB+i9HIn70Zo/gY
2me3osU9XQC0Qk36upzq4kuKZtxqCEoXOZWJ14UtP6PKfimEQMBq9FJBhgAa/IT1scSeP6CWTlBG
AT7gZW0iGjZIOK8YvT3Vqnli9t5RVWzr9XtW6u1jKFNnn3tVvvPMqdyogPgOJ5/mss5r269BZ+yT
WmVbZmohmBOelC6cAtdRoZ2oMAHxSknMZZ0Wt6yw477Kq4G+BdPZ8LfCneEOl0HTf5o2TIUS5EOT
eDBfCmGO6ySO+AtaGN3BGZGbfuy1bYpn7TpoVLrRS03emd303oABus3qwbm2QeStuAYpPjPj/pDl
9s2shHnuopzPBKM0Qftm6C6QMgcuqhbOlzcMqNpU/xolJKkETSk1CXaH05JuD+booWWIwX9T81GI
ihdYQqakBjzZ2lYzcYOoaFLSo+SNjqHuskc4u4rngBbUqRyIgmn5RmMW6kdQKhjev1QRE7HQSQrf
0uDKtIIQWQ+HZNTy5ArnOkEXbTR+N4cEEoqsEp/WZOHHaVjdGFrOwCfgaAcRJLcezaBipEimtUam
LXzsgddaK7rbMJiOtCQRe4G2nyb3mCUKXrFKz6YY4VFNMTDOecxuVZ+w05fDbO2SxnApfp2LxB9r
57o2HMunZGneV6N5pwfj2i4sA2EdvL3rdrtiViC1auO96KtjpNs+XvF3cAIQbove2g3KMQBoirsy
VX4Tjf2psBnxDR1Z3ZUtVPPcghvzQf8WgHY5nvWrKMjd7ZRMLafruT62eguOIzc3Y5OGVx3ky3Vr
DPo6GszZgBYDHkGraog0MaIoZvDC2jqo3njJgwu2HSUS2IIRMLX+RqMDaxuLAgtfWaoLhk/lreVU
5yjVqWjDqf4GBqF8m2uR7vTAJTFMjBfLsgUiM6jNZ551uaGp2SYvDeIAVW3eRY6K3jxdS6BzIpi7
DnfOGtsy14Xy9n3cdWtiBBwHMyyGZLnygzIZQBmTXdELnIpThht721Ys3klcn2v9K43QEUA+TM29
bN1i3eiRuqGya7p1wlQeCcZNRxeCwpHYwbSxsjZ4KmZveu4oDyJekem3Y1hVO9DY3AsjI9lZdRu/
kmia6Xhtqm1fSfdZhUIgdJIlTcyQ221EOA8OqT+mZniDstNuSKGUl9SR28e2b+zLwOzsTcRc7t4g
TXvO4tY8AHCWl7h/sKp4SXjqc8m/NV5/RcH5h8qr5J6ZkFjHxID2fEU3Vde8wySKtkXGfnHFhILV
hZ4cnSGUYt8/u850aHAPmFp9obprWxBjbZziesgY8ocUIrVrQnPBRuukezIrp7xt59j+sOMqfwb6
D3lFsx7BkNs+oFVuf1Xb72y4Nh7z7JaSR8tjQmA5+QV0WYc1zKq3lquZfiwS4sgEY+80m+wnG9PM
67fMaCNohFTLionAWaZXpT9bOV/8oAWkhaHSsQ5J2BP0kuJJWq17I/n5VTdq2rnwkuw0x9UH8V6K
YtLaZAec1cVdUXdXSwel21hfBby0MJ3DGzv1HH+c+tQPhyg59Cbvc8iwdl2Z07BCjjo1odr0YbBm
oxZsQbcOCoGAyqleI2c06F533bZN+MAR09GJ5MQ65VRk5lYuxUBXmM6CR7d29ds8b8XJaAd1YZLf
PI3j2Hw0pFRpFK+iCBgpT0YTlv1pjsL7XQL5ot0xTjZAhMRJB0cEnq1gjBqz6QN0l5g0/o3m9GZ4
jXuZ982kMRkrIe15bnEL+rE4RFVCU8Aw0gSemJo6AkKk7rxUplq5eqw/kH2vcMCmnvRLm/t1j/xT
rnInEDtrUBa3yq4K7i2ld3z4GdH7Bj7sbqpM6veaoHIUxFFjXsWNkT2WMB2fiexm4UIEauFgR1EQ
bJLOjAh6lYl3lUZpvzVSbfBNDkPMkQPNfgkrbkGuolLWYRa682yN6Wg6UHY/DLl38mhY4snjv6OT
eU5M6DVa1ayySpuvxxSB0m/rRl2rKWpOSZ/ckiZ7x5fy1OVWt4UgbFzUYRDuu25+7iAtrcEcVusp
Sut9Z87lxoC5znCF2w1OCaK+Xj1jKqf50S9yp/IVJNxLw6yJjFFgvHXNhO5izS2A0ebBeOgjajCZ
3Sd55hEub+KVTmIlB4NTJEesCuqxoEKyCz5my72Vg3Ffy/5Np2aTNsRXO22eI8Oy9jlT9nPVC7lv
ROGuLZG7l1kv09bPyjj3S7EM/EpcfFfwGWuy4XTJ5ZkGrsTNDPZJ0i5Ono3RR2vSlDJCCbQB0lh3
lRYxyb3Gse23EZxZvOYpdDdVYIdniHF3wZibe7I2xcs4ixnr2kC7MtLS8Amzvb2bcxiOoM4IJCnl
7imwDuXK5rb3ge+V8FEOKT60aNUE3qN2XMkSvFJdEslKhn0vdCJhJeOWWseVjkungOzuXVAPqehK
Q3BZ6R6k4L6J1cG1i+GR0BM3HSl7mjfj0FZrp5w5s4q4nYAzOfEXP1NsQM3NVLlNGn2nbGMiC3dj
o12kg0w27P+ba5eISQQQbEo3teHll70VafYqdkp3S9TP3TFaallyrdJc69BftwUly3fa6HJgcBEN
HzBGli8c2MURiaLc1dLwuLg7D/IkhWdWMJ91OGm9lxcfLaLjdjRbwRhZGJvJpOUzpSj9RutFtxkB
yLMNZhR9MIkenURkBsmKNsz0lEVVcF2z+djY1DSuSz0rd12AzSYGPH7MQ/mQ9eLCoF30fYb8B4ez
iu6sXivvKNTS1h0G5jMFVvCa8JCcSWOI18jOvNsuNYyT4YKt5VeGvy9L4Svlq9Fdh5vC5j+mBOsS
21ipRPMe3Llt793USz2/a2PI/Hp2FfXD+DAI6DigxTF861VTvA5TUfEaonQfhXK+zNo4vNLnsDr3
9VheEFk2D5jJ26tYz8tVqRnhU6y6gHQpxXWKjPBxcCQ5UzZsTzlWLQwWHe3f7HkUyIkei5DMR29f
9W7PkJ/KhmuUwf4xtVAGR23KL0qvbzwIDkNzFk3kIqfM9bQv2K8dnax1Pge9Mipq4Yr4bPJVPVcy
AfxPjRPMRdvlfBxlnCb3aY0ouyriIdsS7C32UTEkT02T1y9VYgl9YwoGB6uymgXG0HBIHjrSLD7c
T31j5RqN6GBcONjA/hKXVdRHV5ojio1ul2rfB9QaaCZop2SK6htuk8mWxrzM5CqpQhgccnrU9ILW
xVjLyJ1J26/UDD4MQN5V6o5nN5AuX/4+7faKl6BhOVfFF//XctaDlbG1pOUb37+nVcw6mF3atxoG
Gp9Wc3YhgZFa64qg9INOsxkOLFLQxC3j6vdMBeOmn3vjWu9zenMpeOUkRcj+zY6C5KWwtaLeBDqG
1XVZWEN8ix+u3WUVVjFfmyda6kqrYWUIp1teKBK6gg7NoQr4DTd12O+uk+9TUxPmYx4EzVdPZIGj
NcphcWFYOXA0DgbMsCGx4/qfA92dgNPSpOmzk9a0a8KcrTzq5BeX/Lf93OVjvidma95ms+ntYy0m
VJj3ZQuTwgGay9VuK7nhnDkQGh8qloJ5BlcG8NKLtnkxKr8teza37izVBlItwELkPYomnNhmUCX/
L3XntRy5kmXZHxpcg3bAbJ4CIRkUQS1eYExm0qGVQzm+vhd4W1T1CLM2m3nol7KqWzczSSbC4Wef
vdeGDrnxppYkJoSQm9wJ1TMGlYwuC+gNU4uZV0FW/l6aELgis/d0ha2p/OVZzUpMoMA40rxh5cYE
+HxdinJ5pbpJfSfoQDfm4hm/+dbb9yGelLcJ4qa/4lXIMcDfDXhoPZRBd+sFUt8qiFLAUoal2I/e
aF6jhknO87Espu3oFCm5vLq5S8fQvK1NL/tgtGRcFFMb/MqyLkdd5+B+JW8U5rvAmc5Zn4BNnyYD
M0k4+Q2orrBe23vjN1ZKfK7GImXQS+vHaoyD67jzZL43AudXYSNATVSYuL3L8gQ9E7fpcpXnsNqw
/uEvqRZDPtBfWTzNw9zvHbOR5yYJrDsAMzhesm7AZDmQ6txrmkFwkrb2rjHSriesX3evmMHHY8br
60XmEs5GECQ+cLSJrupuyfLPmuvSbprq/shHVZLyH6xLozLDByLQ0x852waMvn7u4yqaZx2rrScS
3pLzuNxA3WEwYBr+ZXttcEJdlWd7nP8oa/zTKcwgjACbgobck4OpbBvUNAa6E0do7VXDS9dIeRWE
TXidERD/M4oSyuoCMe8WZYs3Q8nFGjuqLWAPuxYyaAegbpkb44/CFt/g53G+le1N6mv9I0Ct+BN2
dZCZibfz7RFs3zKmjPb41Ey9MR3tbhprdCI35purdcwIvrx4HS20Ee2qv0BzVnk00hBwhw/jMia9
d4MjZO/xbcVQpmeFooNh4zz27XLqJpcWlla/m/wuABoNj4aUReQHv9czkEtJpWWnYZ8M6HDygM0U
bE4w4eIQzpviW7/Cxk+4OYT+xI6r3qEuOS+8nSKX3ptlk8XauzUwRETcZfBmFHmwba3lJsGaew7J
/WOmbJvfFJgit5X06QHFHSNjznBotFMP2KbSIqqDgc+BYXknxZVWbkjN29Omn3kl97k9H3xqUw61
qX7quyG7ysFubhU17HvT7cQJjqA0N5x01mMDHegLKQP09pQFoKOMjHZMSz2UcZdcLBtdMDSgewp/
cG7ieIj6jOeQdFYtoyCoAVFXQz9hwXBZugYTT2wSnusxfJsMR7zgfvGvct1BzgwWC2m2JFTFu/dq
yDCo4nD1sTSn7dto+dkZsGsZcTlodvY8TlE64oR1qWK/IYUGDYi2CL0LHVozVwZhci+w9+2J5I7n
ToTpl+wWXsBFjL3OY40GmLd6BlmeP5FeXB4MQ4oX9vU1I1EalzHms9bZkXKvo8KHdL51q35NFaSY
hpvCfux1FTLPpqSZ3Z4Kz4WoVuNQltFNXUZmIQfS5WIv3ITuXKaHibskmJ0axEEqzAlYphcn2zBx
JdctPX5wjAKi8Q0vC4F2Tlzt4wV+DFvoYIm0aptyj4F3eOgxqB0Lrvc1p2nQgs+b7RRUtTcZ92mh
s9u2ruOroC0JwdddsZ0mz7+e3ao9TrkFzbNdsq03KmYgVQAQjbPmgo3yokrHebbmeFN19kda+58h
UQsKsv2Z5m8fqryfkGjbVp0f9bq4oe7ZO0qZmA9NTRtqWznBVamn4iZV+VOVhDZR9zEhfm9bj6Jz
3achr+MTNtllZ7TjI1XcOYe0Pz2AqzCPQ+HltzNvUhwK1RozoWTWWOSjvwCoVj1dWwQMMQq2iXMz
VS7MB7/p94Oqqw3LkHdw+ObZlIVBP0N5GotOHAZC4FtMZt8908pvje/baYw5GvTQRbOHVXtcDVpp
U55Muy52LYCrg0gU2hA+2pon3JG7xVmSp34Y9gv7WAdK18li17UztfpycZme5TQ5d8HQdx7IAtek
vZKTtEJ/Ig4P9bPOTYMAW28HO9u7a72WUazPmzHqPDXsM6LreM1YLTcEXooz1HOaZQ0KUarbMTWG
1S7+ewgMeRiM2TrpCsRVHxT+/WB2Ua38a3vpjwYQYTKd0j13bXKH9luzOwDan2T3teGZv3DHTRxN
jMP2RL0TfjF9RgB7zkOi340pIhYPoDQhm8mRNkwHJomsCAr13Vz8dvo4hajdfSyLvCaBZeEMTGvi
SJYt8as1ARUwwvD2OLpDehnTk7AJxYJXa8sGUiibLK4egtqRmRLehQHZLzRUVMerdoFVwvhdxwk6
J+YPAJI+UJDc3Tq1z9C+Bog5c7emkPkI/8X7VZeV++i3sqK3Hjp8hy0XOJers/5YkH/AGu/WyZVn
pLl/AAfivXejZcjPmH/Ax7NrfObe0HpyXAH7ZRpR23I97nI+t9gqW3+3BDDm9ywokDI6gHax4caP
beOAhgHtHB5EYJ9Cz9nKAJJQ69m48aoREsJxxMH2GYuYt6LIeKTAwdbZk5EuGStH2hHCT5nGHMSW
54jIbCHenf2U+QRqqg9BLgyz/D6UJB9PrLOzItID+xEWtNl14Y3wavMZ43Vro4n6WOkGyfvQN1kh
cJ6GPm7XLn3IpjF/HHqX05Zzozo42YKmOcWVhw8k9cV7g/XzUwMU/Z0Tr9h0bjiUmynk3qyY6yK7
nov9gvctClpt9cfM43Vf4LpjrSNHpkXIIMZ9YHRvCMXYLO2pY4XZiyvhe2j4cBrAIADcWshgmFjU
8SHcOZl9UmXzmZhFxxc63Xm83yWNAg51KirrjUfXmjQRDlnJe48LyQ1PXPIet1nLRNxuJiXNa6EB
I3kzhULabmghblO2S3QulVl4GMvwY5Tjg9fOby5YmH7DB5dP/OK0pxk+hAxkfwDFV9+Sigfd1vGg
lylioyRXj8nGGh54d9NtF+SoZFnRlDvGACbV3nBnuSmWsfwDGQvqrusoGK90bJKp2fQiZmYifYbL
xGcr1YRqelwRy8+S2ovNnDqI1IXX3mYYGCgcvaGvGrL6DHjZChJECkVf8BvzQmnucKW19IrT7j3W
Tv+RWpkqo87X83nplUmHPBBBLr4pa+G256VbDpIjL4nwekNekuFRm9YAUJwxj/OnrG/NovIeWxgd
XLTQT1MT1hA8p3clDeugVzAF2uoMxtrrKBeflzctmNrooOvXqjmfh+XO78q3abKce7lYsdyr3tEf
jZlSDcTt+MYNe/9NEw5A/GKtx5WIDHmd6dC8mQvDxMgs+DHgB6Monj7z+M5BGvpiNmUKWbL4Nh0p
lo56fn78JI1EWDsyvsUzIxwRxK475HptkrHMsxsaa0HFmD+XfXvshmYiIzS99IpIoarlMwvkQ2MF
4khhhd4NS6ciU8OO2Xqdh8adGXeOZKXIuZI+9/Tc4xhpmExGHrRNgZP4u1rS26YVK6hEH4Tdwdou
wJ3QXQ+Zxs0jgjco8CQUEpuGeIXTZtgA/pb7UJc2Mz5uGNjdXvrLHmyvwdTYTMeS+fPNrEK0Vd9t
SanY7W+AMCY+KJsHZIKxjzu1DcfHwrPsec110XNPhhJxbRHXIgnKZ3v2YYsAzxypDnHBWlYTGKOx
AvyftPltLwZuFtTZXbE5YeVglwU1tmFRbjtzWHFp5bQ8LHNaEVC3JkWkKbCPAMEAbVUUGXBbIbyW
cSp+LVZnRRXmmkcSYSM68dykZ29xOcLwpF96kumkTGIGudo2zpRxNIxMbe2eOmJaVeR7U347cY+5
GnUsKY1QMPoI08wa1nRR82HvTduFjsSPPDLs4SVXOKsDzPo7Egv0hQdWxrXOPvmC+onNlHgHT3GD
AlvT2zdMcPUm6dgqjtu2Xe6hcaksNf7UUGGiTkAzzNcb77TY6QN+vfqWzqshqsGdX7Jl8Y98lByI
BsHy4ia22IEg8mBHLxXzHrZoe1E2bRw1ECIg/0hodn6Nz8nlWjZyd47b6cyJO0dwP4P9wCl98J2c
vX/drZuxNrZeC+SGK/zaQPzzkJ6O1PEfBgA9wKRq78sKBRkFVD1eHnk2O9vB9YxNMpHzKZJh2qIh
OVsTONIGe3v/1qWJ92jxfN4njcWjJB3aRt2lfqCtCmADeyjAMQ4sPw5ZBCpaaUyYWagpuU63FNcQ
tcMnfyBB3L+2MWddDbUjO5DjAKCkzYzvuDSGhJbKymKzJAXtD6JOvuCM2O8eyD9aXiAPsU40wAcE
NkUMjhcFgiigbVKnAzymjrLK0efECHjlyJoKqM1Ut8GnMRnvZPD/yFE4N+BHLjxQqPWoSVFZ9Nkl
Maxy2A64xJkc3KScb8OF1TUwoQmoec3hmURJp8Yjj3XL9dFBMp3otDlZWSqfRWsqvb6IRlpcwoIy
N4OfLJYB7NnVaMVHT5Tdl01DgIPmHgunv2uNUp8qcwbDkRtjR3lshn0m6dP4XiIWPfJ0pa951Vhv
k+0AlAIyuJOGJ/dxHS93flUXEHOhwwP9H1k7FxYhAmn3z/liI0wFJfRY2NXBKensNsI2Jv9QKxRs
m9jMd6G/6Mc2bJvrChjWnrdFsfNFp66q2WyYR83RZv1i/UzJQzQ7VXumdaKgGZW+Zk9L62T0IVgx
3iGkFwuaR5U7LrcILT0VrrnxmUvpvziKi3bFkHRURqLQYQWlZGmW7q3e3xX2PPw2wtY+pZONKV/Y
9DpFiZVeQ9eaLzyRBVdqt3uv/TH7ckJYh10il0ch7BHiGPNOs9Wsj3EwbFGNN/gb+c8cleRJw5Ib
IpYbwRyZY68erblUt25et96tGRC1BOxAEMkzpmFH2jY9tmnCBn3JzYumc4FJ0i+tY2glxa7xezwq
ayhCgFN5ikfHvk0aWBCkzxBtCnvi88xHr5GKJWawUJbUlVhIDCxU1A3eGLXxLCrjj4O186lsjPah
Htx4b9Rzut5qidu5afpiGt14pwcpnpw5Hx/gT9XbLLufkFr3tpsNb3ntq4tnOfObESf9LsOIcnZq
ulUHEQ9vHCtvfl44N0SVuB9MND05OdUdVaHMQyGT8iJh5EWxN+a/R7h0+5Ysb9SVxNlsVgVXMQar
I7NhKqO2sXuCVML1ToVQ7WHsguW9lO2aNtWL/VU6Bvcx1ZjGpuCefM5ST27pcESXdatyq3xQrLIB
vdq6qzWiAl5MwL45lQ3thVwLD50jhisKoGq4zJb15oVFzVnLV1Vu2rS07hFb0/O4wCZEs834XcW8
rxszP8mhcC6NaNWuJFe9NZIqOA8WkkZWfU/oNf7MO6MA13bgGh12hB1dQn5ZYkYxLK5j66Ma+4F8
D5LkNy6lPwFqKzktumRji1oFLGotaNBD09Z/clpY1g5hAIQA98uVgpdrd5uU47Xs5PVEcGQeOHbm
RWzngsWQYWmTvXGy4yMbDRREjamwTsXYPGplHXEMRcIck6Mm1xQBs8OBwFaIJNzMIiug+bUplbmR
tnFczPaqcFzgjPrabVG/teWzEeK3PKpgzvZuL/EjNwutyWz3sw/R6G5vCJndBCLNH8Er+09excRY
LylSeFlbh/+x1NTCdazud1D/5KeRJO4NI7C5XwKZHyqVqucfx9z/a8zAfyNMveWDlyemgXX0/wwR
uEo+abWgXP2fMAL/8Sv/ToQE4q/QoxyWlhS4HZjasbb+I7SeNDmhxB8mwL/nQby/7ACjHoWGTkCc
xMMq+G95EOuvUGDGJfvv4e30/f9SHkRY/4vpkLOK7XNg8tu5HmCDfzY7miSm4XLq5VBa7tJFxWDy
oBFDAbShSDpyz/Ni/xUitllwCfYptGlUHoyR1B3mN6VslwavBs1kMqfQYVPWe3sKPsqbYB76PRzd
/qFmTURaoKZAxSsxnjW6SI8JVp8zX1AJGr2ejlM4+NON9sBDX/u12Z0bxrEUu9AgcarRu5hu18ay
BKVMAObOqCx8QPDy9GYpNakoZH0HNlDLBfdQi4QqnTojLMpI6lFlSkYuOJohHpdjPsbZwzh47ZFV
oWApOldvFLzPYTTE1vCbb85C6VOEnX3pDE+CHekUITTji+XuHx9w7grqeSZiAsD3SweTkT9Kdjqt
qPdEDdya+3ic3qa9hRU8T1q33ErRLGzt8hiGLK0fPTFAmjPFMcNlbx5d9lMVoX4XUCWzKOFM1vvG
Rw0QNcT+otPrOq6zzxaU/bWiC9PcdHUtwAuyz1u2QaH7ivwCQHGMK5glyfnFATDBengv7HwiXDr0
9R97MSDO46owyPs2DW/cVKNKsk/DRxYqcqYM2xpezJzD+rSni7EY431GLdeXUybcDeGfyGIHEsB4
U62rjS26BC9AlyP0Ythe3GxtaMi8lNW4yCiuwcDXTjGiboNL6CIXo14drfbAb78xwyJi6CveF9E7
8X4gk8dFd815pmmXOlGCDxGrvSAbz4LXCM8Wvoa91VTj1u5Ue2m00VySseuOdL61D0kWmLct8X+D
609WTtsCS/SOq2fzaap+vjXHjDCjbhnf6kZAiu96e00mYcuZQcqqNBhBMMK4PfQUIuxrz9L7ROa4
8TRWQFNW4VGxkn+Zmzp9xWfK1cBZggn+RRBQF9Uvj1Y9z5dKkpp3+xk0No1xdxlFNLsix1SE4pDf
EGyk34Df6yAKtKPYQgpRqg+4flfmViq+pGmBlKsRZ26MQbIvjbv4ivxyfbTLJNxXDtgwz0zKl85y
G/Rz59l33BLeFsQDFeK3GM8jiUVnE5apRkaa8odwRLlJE77TaTCDbRqk6tzGnbmN+1Q/U6bDLn0Y
5iunx9aWiGWMWtOnfs7XVCJapcvPn+4ZebE8a7l37DHYIvnPdzzrzgGzJrC5hH3Jd8DG4Z57qb3N
Bs96XOS0vBglrsNCrLrVlLW04ThzU73QyWS/uiyGX3KG1O8h6bIXwQ6AhMFwdBlH7jIzpphG5b1/
0XbZvrcsu++r0rU+pzAG3U90JHy00wGJIylSIG3EnQlxcqZQqkBudsfSZ6GN07c/p4XM7aYxlPsM
eEzeuWORE48dy18z9Mm7gAbSjywx1C4pvVhuScaND04g4qNu2AulZV38FipGYapJ3KMZGp6+y0SF
zzM0s+abOmPrZX0QnpxFLN+JmKZmG0xm8by0prjX5XwRcFPGDcS2souEZ018n8jLDMaB9e5AITIQ
gueKprOiiG8JYg1XmjPiIZ5T+adMcjhH/jjrVzJhtCErjuajQyW9xLETO995Vy8Zf/MOCSOV2ziF
w8qCgD+AzsWuKx+6Ulaffufy6WfrivQJEeZiMuDaCEM0JXVWMF97tuytSC6rYaHpGSPwmyE7sBy2
A5NmR59noIMhuJeubdIhQF7rajEBrGy7ovOtbWVBwMBE5wHY18lwIZJQTBtshXQt+Pgpo6C31YO0
C3zoNYyIDYs39ZhlqGW+jxpmYiY9O7RtPciCAocYpfsKa3j8YUzq0WzK+Rp0Ao0PDeSJe5ys9EDU
ayXE+NMOETtyOOUzzr6NZcDHxnvlXPtrpUQB8B3TzVo0ka+VE+Hf7RNYhflBFO5yP/lKTkcbQO9j
bKbFU4Iz9MPOKLIYRynO6GEm8lM2XaVu6F8XNmXYaT6U1OgOCC/5Wo1RVhqJtZ69qzzrjI4P2dqi
Uaw9EbuebioaDNIWt9jkh+0NHwX72V+LOGRLJYfdj/6VDuPyc2Yh+2kUznBow7URY3Io9LD6Xuzn
OrWfRiulunYt/gjoV+I62jVf+Jamz7DJqAiRjtdTwPtTHbKMU3f0sWhgY/kpF7Gq71jV1I2st43j
YHDHHlvH0FubZNKpj+f6OptoK6nX3pJRrxUmYm0z6ddek2RtODF+yk66n+KT9KcEJWjC9jZMOF42
7d81KdM4fRLzpzwlQX16SNZGFeenXMX6KVqpA5fSFegD1U28NrFUAxJ2B5ODN3unuvvqp7RFrf0t
CO9UueSKV13FupyX19r1ohStL2Ltf0mo6UMuQ7/9DW2A5jDEm4n7vuOk5/CnQsZmvfrsiyJ94Z1N
xUz3Uzcj1uYZPA3euYDBfAh9L3wOE5ZFluiGinpIJskot4dVS1rrbNJRVU/MwPil2p6+m4VQvHtO
CIu+Mpr483b2ulOqfGxuWFvrq1HRnIOUZz/MJm06bpjke/obqQRfu3YW/EqXpVLDnQVckeFB9P0r
IHFiW2tTD2hnn4AG7T1qCQpE4qB6COPWpbbZgdVMyZf/2v8U//STw3UIHoUXn3B0+zfp2hJUxG3+
Wq/NQVzYKBGi4H1oN60Ki+tQD8F7CAiAud1/M92iOYBNn7ek2Hic136ikFbIJ/ZJ+QkIE1DJ0GkA
71YY0Z8zJuFq16xk3mRl9FbSnF7sH3BvhrX+DI8g3CX9YpobFIj5aKORX2EkGE5aQwC2e8yccWzs
U3x+dDhkEJTrdBo/ND7cDPEJB0sBl/w9wCEPXniANNytzGHnb/ywBYk49mASD2AMOi5GO3PlFVuO
+qxWgvG09h8NK9XYAm/srpzjCfXSEmPz2rlFdxhx2ALzHHFzLtnomYfZUCDf60IWjymPyWs7w1NO
43E5ppMxljsyj+mD/YNeHn4wzDVimNxVju2+harXvxoWLSlSW2owyhX0i/D6idVwXFQTJ1QCcdFh
zyfAqTfsOGY2K/giB7DJKZRlfojhONKVwOvzEGe2FQGSzC84ktBQQ7b+21obxsWv06fClAL8nhs/
pXQqYUpwKIEd3GmA7FCzBG1Aov9pMPE+9XnmHLNC8+qtZbcnWuFGNGQ6T5N7ivmR7+kiXIdN70aV
pnmNh8/dTWUHGD3EXCqqpDyhaFeR0LO8qKBvtoZv3YoytW59rspUHJjTfQw18DpfCmufY1NKot7i
HcsKx8b0ItpJbMe4tvdDGWa31jx31xIrUr6jI9grj2Uu+xusk9yNOsaZF4+tBX4fArLO1taV4Z/Z
HvQvgwSGtHVmV1KnUyEpsNR8aMRkZ1tn4JaI36wqcPgaqKUbzw55OiHJ3E5aJxc0Q2wTNINrKkX1
vFwF3di+Kd/yn9lIaqocBZoZDSv+iyIWcs9hZ7lI3WbyzgfY3OPlrbhCG/hI+cxUj2KZ5U0D2mdY
v06bjpwmuLL5xr9DfyxR/kk54xLnvnmqML3Cal2qECQH0qV5pMDCJiTmqAQnZuNU+3Sms2A7gKhh
4C/sto0Wk4YSyvokho9BiXQnYPzaLCFd4xOntHqsaJKgfZs7+7ZBrLsD+jW817iwMTWNurrBZo3a
QpNrhBuGK45m43MXQJR9p4qBCY1+lqy8U1Vikh5p2YVsvQScMx6xmNAWWBRWQ2aV4HaeG8vlpsmj
DKLLDl9jMTDojCImQ58LHtWoHFoFjaugv37bVJo1sr9Yr0oZrjz0vhlg4JomgiC2TJ+Je5T6vqw7
TalkRkhddS4dKE1bdnofm73AHSXYfG0LycNx1zsr36UoarAqkMEXXnpFOPGu0g98ZvBXOyXVsYDp
uWtw+rPwgF3HBv48E+p85VjyHnxCxKS74vBcjbp/nHWucm5TyysN7sLAxE4SmeM366OOXR9xr9ZH
P/r/In7cpF+wherv/n+usspXjU6TciL8YAD/43/9t5JIUDz/b/LI+bOrPvvP/J8pi/7Pr/pXWEbw
l+fZuJxCP7T/Fa36tzQi3L9MIOO08lmmSQQzJEL7byhxyKrs3U3zp+1RgED8d3HEsv4C3muhs8Di
4b/4wX8FlvGfY8I+mVPimGgivDvpc17//3+InPrKMxqB6L3jsnRkPLzz4/zbCtjTAEE14v5+rPPv
1sXP/g8/pf8NzIJ6rf+cBPUDnCceVhkc2Hwv9j//yTLxHC7exbDz0TX/xK4wNwMyEr4Cb7TkyTYX
PjKpgFO5EamxPMyqAbiDo2XBaquab9cL2UfkepgJ1+dMqXWg6QOFyl6juUKi2kpJzcCGDUZwgdfH
h2RArtw7XkxyrCOds/ijuDJk7+8ls+WyqTRHKH3HhDD87m6SeHOoJPjKmI63WID2WQh7jKUp6aO2
etBlSbW4NHe+AZSgT4CKuXOXPTizBWB1nkfnlmyYdSlgPtwKZaw2wTlDWA+ytQCdPy/WszoAOCvv
tVfv8ia7ZrZTN3nDj4L6cmuJ4tnUvL3zlF88acRubMTjl+Mb7nMvFAACNVjyLqU4+tqrSg9Pt443
tp8iZjc2BjS797INLYPyJSWn8eB740zLR9JsJZ5rCzv8va5bdxvXffLWU3sK7K5zjbXgyalBDYHd
nAzVf8ezHc6sL8NORjLrw999MyFQ6cknctGF5jNsI2qTpM0zto0bJ3lQdYu6BNsKgzfI74wyFlgg
VDwHydl2TNZ7eG9phcSa4BiefzunpXtnpgvmdTvX3oXSahH5rjKv05/Kb0pcL7OkJygCyU0Z09Ky
pyCIWqG0EQU81O4wX49Z0O+xd1TRuu7aZ2m/nKt5bJ7bKhADSwAFUFE4Xv1ic0va2r0RYCrNp4YR
NRjD+iJtB4h54ubsuAs99PDuqraMXNWE/WZkxXEEmZqiS9DJ8UJ3B9EaJB3Z92x1LVqzyEvoO/69
qcXsU1l/PEN45k4yMe1Grw8viT9hbzIpcPKiAQd85JE+PQ1qJLIWVHUGNmY0a+oYIesQ9xX4eWvZ
eC+exuOyWzJNlTywOTIHcx+QDe8U3sQatfwUA5rHP1h7zQ2F5f0H9dE8SHlrvuGdS/7EvWi++Mmk
D4oCuzuRe1QKtbogUpC6Q/LGkoOxKB1SubfZMzKSmNZ4IZHCn7LYiUWEKg8pKqba6YNgjLryqX6G
8IfaAApuzAj+JY6ld8Q77T0bNf1o14vzUCEPtdvJsvuFkEjLZWy9d34RavWZ7+XU3I+xFX6ogJIW
Zpgi2LlBVxN6AW3Happd29gTjxPDYM27wUkpSql79TzJkOuVjQ/us02ztto0kGa2ltVBz/Nxi5vs
9Vvrj6FS6zHpm/IFi3N878+OeKsGhlwipxRfb+3JIekUZ2C4XIte7d1QscmtfXD9SqPUgg2Dz8Gy
xc8R0JwBHRQkWp/xcy+IZ/uzsCE8+/6yS0zQIFYyYmxjl2dBAMIfqJGaxgN1O90DekzL1CHN4rww
VFur/ZVTJMdyO9GwPhl3utE4T6w8yF8ybYSAwkxcipFfifrLNDvUM1BM5ZERDc2BxJ/QnIS2OA1U
uo2on2vspsmC7GKURXKxe+ENtDV6xNIX2uLvU5S0F/5KSUE0fonNJGgoQ3T97lEyt2zdxp3IzHrl
fWERuFoahj6Ujbl9cxTpfg4zU79PyP4fHOb8jeLOp1QSlg+xN1ayBoHmUWbM6agrWPAINCyk4qee
+93MV2pgBF+7NnFLB1nIvEgNWRWNMVIXIL5lvJ16sNmF2a3t4Nj9FeyNELuRSVXbe9qrkV6bwfMw
6VlGhaNBmwBzKRy6GPB/nwPYq/Cp41EEuxhn4tuEqe13KxeMl2WybpJTQEh4XmyIMqTUk8XDmtRp
ebJi3M0b4Tj5LTdQM7nUJhG4HWs/56oefZkcVOHQ8KiNAQlZE4hobrq6TLGdtJnxOcXdHEdsZTu1
q+wq3qsKqxC+KQrNXaelMY3aHjTOmC49F4ko67BS4J8gR1MbZU5KlKgFRnftoUV6in/F8vCLzR2h
K0JdJb8kWK7CbGyihrZGmKFd9yEI3YFC7MQLO/3yasSyd17Yjxm853xwbYnmDZpXg34tA4tDTwbp
dAs0JaBzhlKd56XKqQXSaPbtBgaO+F3TgvA457ZDKsgEgjexlSQeN4juWw9jct/5TpNEKTH33Qhn
/Dag2ojYEB5Kh0Tpa8VERo4wqNMoE7x2pF9ISsOrha7JCseUGBRNYrQWOnzlnyQhb4cpiTeDMNe1
huXbvyRdT7duTC/vbmCBypqWNitSqo0nzGPMToYNwxDEn6bUzJCD39MEWfu6gKfqj/RlOTNbmzKg
oo7V5RyQebX43uY40W8rlvaJ47e5oJ6BqzRn/V7zfr72Ydei2hU2yPhhZqVjKQKgFGL76Po0+KG5
2oPVEofQK6/YN8zuYxq8/sJyYbyN59i+mEKRVNSTEQVxujx7fJC+WK7GDD0EDZC1ioONs6lBd8HE
uemIBP5ecF81kdcq4UUhjhhGBeXb9yl99hDiLepgqUosrlvsG+/ekCTfSx6XSWQlLbYXCw86P7gs
WTqsPcCd3NMyuwQYa8kuRJO6+eTtkt6zf05mji0SajNh824ptnXfkMlGLcnFnRnzyo+wNbgzu/CK
8IfhdC5rr8HbzrAn+RCwGZ6VwTbGDuPbeqxfCc9gsemYq5LMqqO0BEu652LQLhjXDDGedeL62Bqc
ZIpaDYszKmM0sCaZiaoiMeO5jnW3GxoDRn5pB1+t3TvnKoEiu8GXJ2m3RBg7EonxrwfXegdG3z7T
U+/+CnI7LCCT8JjtQtCLLc5XLgn4wkX/HfgGSZ92EHRe0RUfPJiOL1m1jA4jV0DcQm2Tecj4dDoD
gvI0kWRkKV9C5TWDLGdBT0asPg+j675OfcsTBTe04iIEpJQcIq+9rqAXdINlitclL3jru8sxfXNO
F/It7WiuRih15zs/JQK6NXU57pIUJtiGiIYFxGIu9RXiqPErTrsh2KRIxTl+0cCMKG/tP5yW0Coc
7NT4kIZf+5GjdEZW0eEUCO0SGcciufVYBQ0xSTk23E0gW07PUz6ZvIxJ8qoTWrrDBk3GjLt5lml5
Q1ef82BWxRLsCzZ4jI5L0Xbk8Imx9b4tfoNCwYDtYsoNwVL/C3tnsmM5kmbnVxG0FhM0ksZhoc2d
J5/n2BDh4R6cRyNpJJ9eH2+lClmpVqMb0EpoVC5qET7de2n2D+d8p23qYG13xHpiP47f9GgtNseZ
iq0NY7HKsOGtICK32JpGVqKAghjId8L4NYmo/iAHkgVliVrKIPY4mP1V1PnFzklwsUJioTWfIemO
dWTdEaWLetmV8abAYgxqZdoUwHkPUSDHFDWl7zyktWEwuSn9naXafOsFocOVO4T3JJYhePKQk+18
tnXBbIk3Pon2b52odNsOic0TVnnBvde3LdmtowYukebe4yympNqaXRA/GZMgNa/XvH48FK8jkybm
2ESOlXtfpdNb6BCRoNoO71cyy3HawP5UYiWmuv+N9Kn/5cSIAFkwqLhgWBWa4L/obn7bvkLmNCNA
wClMHMSqYl+Mfs6eVjgs4TdEFp9ChO66jDein/TvxEAmW89N8aRnDpVVXYZ1v0E3hTIaaDLS6rDr
RuvQO/bINiobpxOcdXp82K/MmCduWlICWTNIB2EP11jZ5LcF1XyxyRgCmkfJ2mIbCTd5qjP44RXs
ZgzuODIwtc4+GmgQQ9piu0fYDrQ32TBfhsbp4iTNw4H7fkrw2XmxGzxXTA5tWDtkoq24KPMGHs6Q
OxuCZHJmPejamcOz+1Mbw5l4aT2nwoZXFDvQZRlovaw2z8BV4oFlwTJAihhuvzGwBa67SOK+My9C
dd8Q44PVyigoEYVromaMtFW9mr2dP2tl+l8WRs4Dg7CxPkLFKd9LOuOKvUCb/kxRXZs72lh5R3Lx
JFa2QSwk4bumOAfRQHkYlMGEHxvktb0ZdOhwODioP7mGq+ahhToyrLuCjyHKcaxGLiEj0Vo5rXkP
Pb4RZ7DS3bAj+Mh89kqmitrIv1mQjR5cZR9oUCs84hyHwkijg3QjcXJbLW8rdh9QrTuo6Kek8M0T
Wx8+cCFP/rFLZXtPZi2aNCdzGAI5kjZvGGuWw+g1jtqPcAAbVfrleooFFTEd4kyXLB9wzbK1IWVO
N9WxsKz5dowzXLtIDDqar21la7QvTs4eCvmuJSJrpS33TvEA3CUAF7EEdTXGaRbslUf50VaDiuEp
dRkAPhJLWJmnGxgy/QpvjwnmhCxGsmbLB7afxX0xteB9BFUjY8SpDfkxk5NfqlIkWwNdK3mlxJnA
t3fJVJSKmMb8ALdCrFPqy0hl+r50W/PVLIuF7stWbFO06q3ENLjuEst9HNCVbFn5TDtZjndebIya
LU7vYtMegyMSf+a8GmMt0YpGYBJo0CRnITLG3W3iz1uzzUuIsVVwmgcMYusqDDCZcnh/+8rbN5gI
f2OUz+6jAdFUN5TBR2UM/slDYPxuNW705XOBrj1eoL7NK/6J0yOorhP4v1u+Y2bcz67teQgHa6TD
Q6zq56LtTADyIW5GDYX9edERnPOQHOUhMOqD58bDC+qu7EfYmzMaC3Myfg+9V6ofdkYbRAGQDNau
DH1z3hN2q8E2Ota46RZuxTFhQvhF/Gh7meBwsLyKAy6wdBQm1UA9ZXqXD1STWeoHDzBV/XQn/IbA
Z6kZwcdmjRC1xwtBWISgUthky52JszaRmKdgcqx8betsQ42kTvX12On41T46l5X4Ap8Kye0aDT4U
Ayx2eZAFbQIkRBsru1UpFNq11+POsEvh/uhwNH7XMrHCjWMF2bTxyTE4BkMwBgdIOyoiXTqmiIZu
7X77EcLPhEnOWWmlbyFtzhgzzJjCtCf1/VdbOIC6CEFP8Hk71aHrbfvR6Uy2F5FvciSGPmYS5scR
1KlaIdFNCm+SCCtCmvM0LweLnZplXvq2xrTQDVRPnU+0xK4yxu4Xij+/2//XfPQ/ghMWLmS/v0z+
NsxC/9s/QMS3PwtSGs/f7c/8b8PR65f8ORz1/sD0A6hQoCNZaLHMH/85HOU8RrP1Z8yiB6Hufw9H
rT88k+4lcACdei7S638OR/0/AIKZDEeFxfcCzuv+Z4ajlrtAfP+Kq0Od5kohTYtJLLM+hGj/Mh4l
ks/QWSYIVAk7BpUVNVlfuQQKsOPuL2XK/AqfmXV2oWkc8IV3R3jjGSb3IqhvUAx3b46mkiSXL07f
3ZqLgQ96WR3zJcF6FfgZILuGgdYuQgZ+Z8ad6x8H19XJpZVN9cuZZX9WJfO9U2+6jBf6KukHZArA
NpAbxW627TgJQSEkdYr1hg4OPWcefZW1lAWCe9+1N76dtrhO82VBOQ3jSHQb07UXtAYpRDiahYuc
zfA8K1BGJxQB7lsza4s1ieU/q9jQd9XcYRAYlhEfhLqIfDwfokqSxQovKXzwkyUIVgYGV44rPCgJ
szJMl8PJooI0t1iVWuPkTrH1ZJY0UbssC5IciAX7slUWCUa0WpoeKKosHsO72CNuBDLEzMq6KhwX
0kqjc33HVspTF4hQnaIUddp8XVeZ45E+KUYUVJQR0H5w8v1uCOS+sOVO1NZMpvZSTakpoc0p4Pqu
vXTYjk4nSi+rsHHOW0m8o9rKu3WZdItIPjDoOF1dZ78yo5rr4yT6vNpMKuMHOBFhAyY1511G5uCB
d8Z5ppUYDlMYTre08sG9RQAn1uQgbcetUmb1Ytk26jw0W2O4dyMyi4EIYC1yhnZ8RZXuPTClc39x
rNnJtnd7WaxoSXlpfGgTtOOpm29ZsVpvTZ/0bxQGzrDT5CX4SLMKs2cj5zVnBELlE+p+3Kup37B4
rqnQ9dEZOwK9wiKicbsenPJ6iPbLeUqmQXWQyxmrrsftsJy83CwcwkBtmB1neJVv0+WUDpbzOuqF
++1cD/FwllRIzGg43FU4B0fgHOm0aa7Hf7/cBM5yJzTX66FwTRs44hxgfnSvV4i+XifT9WqZrtdM
f71y+uX2aa4XEY2cOil/HjNmU8tV1VyvLfgv/W/3eplxI5Uh/qrlksN7ocnDWO6+8HoNmnYZPhTL
3Whdr0lGbjyD+np9suPgKsVR0F6a3M2++utVyxALsVUo+3bDBJGZyAqzhE+MsN0VT0GQwM+i+8jS
FbJ/i1aH8jB9rVnOAtEct+RFaQ/KgBvUZ9NibEAiNHohT6cHU5npa2lpiELlNG+9xJkvUaByWmYu
/ma0wmYNXNFDF4oXXTyINqleW21voH7YB4FfCsm/3dUpeouifIridNvliiTnNGRmcSzaxdJKCPuN
2eOX4poryaiP8F875LIZSf1pY5O9WIPAzcSGoehPhhVm06t0fHD+zTQNwKrsaXSz3dDjFKTtG1Lm
j0WaJZ+h0cSPui/dz4zEzXpDYQ69R095Od8lWS6mteCR6XeBrF1zQ9U60vYFQWf7Rzcg3R0LGFXl
jWEY6WtH/iozZ7uTVCgjvUK6krHVE27QTRzzq1DFTOOjDIWpbzTNz2qsz6VauDZmBp4KZxVDcZvG
uXeQmUn+2tX/kP8Mws2Ksb5X1tDtRU2Oz39d7v+Ry52rNOBq/b9rw+++EhX/y+X+55f8UxTusBBx
2NKbRMn/JV/OFwRH8j8p4J4tenGu/T8vd8tivQkwHoi/CVZC/EUWLjxCKll48jUC0Th68v/M5e65
C2v2r5c74yVf+DYHELt06oy/bSCJCWh8p+rmXZ1XPAxVIdH2Qngxb2KvBW3uKdSsYCO3AeC4Ymvl
RXgRLnzcMB+bM9MWzJOjWbAlsrEt09phDbaYvffY6rXX7qHCtTejSGIP6UtHflBHwhLXjG5PdKTN
O/y4fNNbVX5M7BwpBQK7Q18MDFoJqjk0WK3vEogk3aqJuiHYSNuhAigyi3K2mpweFYHTtuXR8nPn
nIwJdsGe3cw27G3jRoNJ4ZHBnByBhhiNbyQ8LYwdLYLPJAAPT9iOf4M1NTlVPZI89nMzAa/Sdt/o
t6Hcc2Iy+lp2kQBwknZgX2b3CEjTMn1Nu/xDz2Zyg5L5OWznmTi6YsBu6bY/2YfEZ8fi4AjbbhkK
OvmNmaTWfhxQoZresmeCT3Qc0AGt0HQciUPOdwjh523AS7clND1eQ1XEvlfG+rEtrY6ryIfFO+Zn
dJwJ4SDZl8VajFlwlTyGvkyPYPpzPE/D9AOus3uJKWhm7F4MAtYJEp+cW9G2T1mVsGFQpk3iCYql
eEQUIv2z0UWkWvKikWqZ50LQ8o065RqOPRKpotm8d/HsojPO8+Dos3AhlzmNmrvMHhkr+PSyP1Hj
6+aIqb0/w2232pUJAvKu8nGqoMHBB7QqWpTEZ12L3GZnXXM8ozrskc3VUXCvBjaPa7fzHH9XTk55
YrVLBFnNXcMp7jcJt2+RJDsWogiKdJbecoVYeHmN9Icx9BYyPJTWZYr/ij9pyB8bFswvdafkFuHk
eMlUMdx1wst5K7lXJhbVPnMnXOTDky9AFayKxLbeaBzd16oWrV7XmLQeAhm4d67lDMVGtmF16KWX
H4rAAZmMCnR660wr+uTWTx9UEi/kxDhqtmkyTZiJ+JOGXZ+LaiunvA3XbBmSx5g79MA1YB7cLBp3
C0kkX4fZUB2a2qtuGMd3u2h4stqkX9PE7jwjfq10Q5ITqIBbDPfNUUBK/hi9pr+XmEHX0qGo9dvy
juEsmrpJ0OWOMyUVtrG0MXjJjLZat6Jo2CqyQdsjm+94qglt2Ou2hSGAPIuVXt1a7bztqdoY6daj
3DhUgd9eGn50kBMvaWOXN7oJRhIcNXOOdPaaQ0/hRHUJBKycla9WaBzCuxTVULuCMlSemevCS4QX
iuehNRPvoUxy9SoIJurWY5x7NyoQ7TtzfBxmoq1xTHh+5Z5ljduLEZCl+iN8aRdw0WD70w/AeIn9
pMCNbBRmji9kRBXJ4KJB30Uy8zDhDhMUieINVO04HuPUk0wLosFvGAs5mYluIAzxbSKEBT+CEJa3
osqCle49sq/IscSVwI5weqFWFBvZd8Q1WSMayrhKEDabWZauZ67vFLEjxzRMFRvPJZvG/C1JRr3v
g9agvXHc174J9EUQ03traLN8yVspMaVZLgWAn4/ml+el3h4HSX7TLmjngc00epOUKRo1kn1XiXH6
LFUoPnKQBGuvXRIqeIo4YbF/+2lXP+vEEgpj6szgjEyxpvqKhq56mAHyfaeGmg6Z189frR4HVnMm
31iEgKy3uc3aYz9GtlTPiUGtSPms/Aj9VeWPj5NCw7/1UOK6O6/hnx6j1Babjs0HnGtcbu4htAgM
3xQQ5fKbsvBq61gwAym20ko0KcNZND+nvWMVKwqwzobK4DrxRvkO4ldLltGw9lWQ3YwSrGDrRfau
ZmuMmgEnHKVqWO2noJrXZlDxVubRXa6K/NL6FNsQEcYRfiiKS5uLB+SKqk+9m2LX7gNkl9M4FjdR
1uoXgKTRpasCF5YJdvkffcufs27RAtBJ6ZEYTa9v7HNkGAzTG69Y6uccu88hixD6rcOkmH6Z7Den
1ZBNwWfcYCBmtbz4jOqr52i6+o9wROJFMq++JHYvzFRJdMof1dW5hAscF1N4dTS5V3dTc3U6eYvp
SRexro7pXDtHZnmOvskXb5QtGWEKZRTnanFO6ZAodeS0oDdSLLMAx/BYeYvbSuWt+bPp5keHhe/S
wIX9kwm3plyhtzPMDWvWxftcDughrDlzf0JvY0GY1aP71vYSs5fj1kxqs24e4m1/1cqpq26OjXsH
w0BjpkaZ9SJFp5+6IEIHVS26O9c2g3PDM7waDct5FKpx3gi/LAihLp0TOirm8WkbAfuZbuYgdyDd
uLFe+TK7wM0+WVfdnyJG46u4qgH7qzIQJ7wrbxN4zAYyxABdRHNVEqoWmNkeEIL9m8IJrWF91R3a
iF9fZGwPy3dHmJiJwo32xLfZL+mYct55JgPeU1MFpAy29IN3bGDRaBiL8BGVc3EQwGUgSTtmYx+k
AdF9HV4Vk+5VPVkwvZAbBSpg2QdfFZYEnHVbf1D5RxNm5l17VWMWdg+Csl2Emgv4lNZgkW82i5Cz
XySdLKRQdyLAUk9qkXwy6kH9Ka9K0H4RhZpXfWh81Ypa7Nvu+KubUxgTondAr4raMot79a1y9J0b
ZBLAN0OfgdChwgoGI7q3PTAcRgOTLDZjDmwUm4Zap12hbzzc3jNEP1QFq0iK+kv4lszWXjlUJxUT
brd2dPMLLFl+qJvZ+9WzDWUbPIKYRSVgyGWxU8zbumKHTwKvGX1gnUFhZabDG+ipuVzBH0pvBlG9
+BoSzSpXSUQ0rudBB0CTs02LIe0ZxJRfpmMxfkUp8D6XVXVsm4zV5ECbD2qpps2KzaJbhYgCOFNS
9nu562fTjkzB5j5N5plHPuxI587JymtXadMQEtlnaHYjsq8EQyNrCcAtLFj2mUijreETd2o4fvSC
Ki7+7kku4pEeFrBG1VckiiZziapujIpmM5PC23Aq94SZNgqdOitLN9iEVlqsBxjbrwNEJhq2uN23
ECFWdZOzkyhoYglP31OQHjI2PCie07QEA+Sy6TZnt2MpQrKt7S/WQYhBWxM5RLxJikyBywfX50Td
uObe5zyBD2CdIt8OyVXK60tFnO8zo3RCIruw2NjCGYlAdPN8rVqz+YzaAobrHMf2r7EA9heSn5pV
80ccut8DjGzs7SQ0qZBed+VPLPJXDo6dVcC8rkKiX4C6yZJ43qOmtqat0bXmu3C4jd7iBjkGRntb
3ttsII4z8512a7dkPx6irmYtjHETxCbWo+yzjuSIupkDApxCxULH9WNjAB9GsELLdbHuuAOOY0LC
H+Ej+jXsRqgnGkf9XqVUmRi8FwcbW7MGNPd0MFThjyvYnGxUyCTVz36WY1uSAKb3+AaKTw9d07uF
kUBu0HoY3+jzSDQkNYfvPfrtAyeQiSHKtGtQRFml7s1aBxfHFBEKJ88O7rO0bJ9MAWNtH2KnZ1EB
0PSHi8YCoVmdlmJDgTZ9+P5Y/8Krz9PhdWUTnHnwKAyJoKh+Bm6vnqWA+chK0rovRqFemN0imbJr
wuGhv7sT9yzAbhDKRrBHgglhvy01UMrY7L8cYiGTw2LeZlCK6Iny2KsXdqL28d5ONp7HVMGltUwr
PuR54YDqVF70vqSvITrTUB3zPucN7KD0sPkuDfEz8FV/Eq6ObjSr8nzFgpISbOgi6oFiZsOdmxjI
GG0sOJRgUpcpBLe3QlsOX3S2QjPYx6VTfHNIsEPU2rvJfTO1N9PYlFteM5BzgDlAkHQiZgCRlGG4
EWGFuj4dzjys8K4wVKyH2hYngTRt5QMnWMWy11tOVfRwnmGRrrzssFlppjbWiXmKXoBhBF8RalPe
dMa3nzju00tbS2htXkJoN56vVnwyMYTxbcYRedOZtasn+kbtlPW2ssZzS1rLqoGpv2XMk8N5mst7
hPOptUZYCKlEoRpfIRY4aoxHa8khCUjOxDPr9/IHU9v5c8yXyJMaDPMydUo/a4tIAlj80VNfiOzd
CgvzKdER/Z/HHXI7ILHUe0uUijxWz+qyNQ8WuZUkCZcs7tr2DJZHbsdCAyo1jYP2MSuX5dMEA9aC
xDpPD4En/HXl1JB8ei/wzlNUQkoFqJm/qtiOD+NMcQHfO5/jdVuq+AvVEcVixcaygTGyZ+86RwCI
yvgcdUF/74owPua8Ac+BHPInzovmEtn8GVRGIN2HLIbsoBHaT/M0PFuaATRvaEj79eGlnLZj4ERP
xFf8gxGAlj36rv4NVfPfU3VcNN5sNtlJmGbguctY469qat/mhbXrbt5nrUgfaj13tw5AiA0iPO+E
DsPbi3KMN3+ZufwbP3RJjfqXMUbgQbKwPX/Js7PE31ODLFZ8c+hl417jXr7QFnT3yEGqjW2m8XM9
tz3J8pN7VJrMon//J/+fvnrKCUp9aDbO4uP/WwQiOwbt5YWa2a3Ck1mhAUf4XLnGuZ3sbF7lQbhg
BZgv/b+GMPx/50MgpMn8d0dx932Z/vz8K6Phzy/5c8/m/rFkgdnMSJHdu0y7/rlns/8gdYrpHLB4
xPQYEv45irMZxQnh8Tz+I6+TDRxbrS7+n//dCv6QDu87X8iH3XVN6z8ziWPi97ePsOlJV1o2ek5H
8p/zt2C0KALFl6Ch3Pf9oA4tlkrsb/gOl+Lg3ibMBxyUCTvZcCpMMIQrchJEx3b00zPbLwLBaTBf
/XKSX0GL0Qu8irHzmD0yLEnHs5GVMe5S/FM0ouHJKZiJESj50+2dewgKmK+w1rpjcSZRGnlpwE7O
q8hEaoOEmQJnKOXhK8Thr9DpUcXL4pSputlD/hKLzjUbd0D6vfVk+QltoidecpkYPmP5OD/RRZb4
rKb5jiOg+AWCEzmh77qf5J/EB36evmOIbcDDMSIGTy7eMMtE8AqkmjKV9cimDcLsB4xZVjAzPxXg
PgIzsnvrr8G0hyO9b/TmFEofjXLJrnQFKtOyeKjJ1vqZTXF3SsVUcBf4hBYavg+ZUo72Sim67CX6
vL+P83E8GJlbnqtI9/galGRVU1ox6pXUekE2hch/HJ8SgJy3KkavAuG62huFd8/sYnjpAjP6bvKk
fU9c7TxgwUOQYfrBfeI3JNq0kGKJVEiehrSA4GhNr0S/N/exRJ2NCEIee17rc1eEyWWI/fJVM1Nl
2oCta1QwvvlorFtWWj9ZQCS3cezTUzWJEIjetDc8gSoobsF4YiAJ/fWMexlPhNu8uzgh6Jqn+pc7
h7+JdPHnjReMb7FVH7JYnvreyrZJLcQDUQPmNkEPeJ96Onh33LG+IPpyzjYWQtivc/7F8ARQI150
zHNpLG+n0jZuSZ+h4mBWLX+xlGj2NWj0oxq5eBDq6lNhOiHp8TBfUdsU2Al9cRSlYd00k/cdtmdh
vdspP3lZZj/R91anXCq1mcPSk6Rx9fUWeQMZkAVc5Jl0+gLckVtluJJntQ+gk79YmBXv4Eq268ip
mjfWQdNtjtt6E5kgtScLE35EV7VGeQvxTPAGUYhYwU2B/g22W1WrgxmHsNFK5DC54f7utePfdqhE
tg1LrJ3bMXmLqTiOHffRLaGJL5FDaEGQSQKvEs/fqan1ngPKeCboRf7TjY1m5SrEeGuJEpbenK4o
bekRGrzWu7kEzDFOPWjXyWzQWVXm1plBVEfJ1NwUEHhR0oAOylMTw+bs3ZVjuy9sTP2eP9c3oR86
G5n6a9m5i9Co3s8IgSDM04Egw6YVXaMZ+5TxtKeuh6IqR39V92b2QOuf0D9D9cvodRyRgVXCLLC3
yE0/+5bpf2QYGAeaqnJ4IKdHP7pl/eG4xSeRJFs5qwuL3l8p6r/7mbT7Q220zo6ZYsjhs3zHovXt
tRaalfT8qJXz6OPDQddP4FIDHPEpCliJI7UBIpMQv4HX5QsTyi1qs3FLZ1WuRe+i0nPr/i2GOrwy
Wafv28w177xlJFFNpTgzce5OFTvsbd/V3ncHW2WHZNS+oRPmYYI1uA0pNp9ISeRVHR2LwyMYARUu
AmFZzTs+xwv0FRso08t6fIuK0D9CqYvhd0BNtkyvOo2ekay9bFD7AaTkMaskK1ShFMUDPNN92Ifz
vR/NckebgEjfjrwV9JAlIo93e8pkvJa4RPEnQNHPgibfGqFXreqpd/ZWD+lnhcbis07RM/Ovq+lC
DybWhdmNJxM08Rt1/bzGb1ZfukAPJ7MZy1OZa/8Qk/bwqWXZnXUM4gvdqvnIQ44ogd0KQba6cROi
s7T9gjPbs9bQkaEXlGPPyJA17i30TYRlceLbO0JSGOCEiL2IUH6xddNs6ynZGywzV7wQB4ZR3oYL
Q74PJZG4izwp4S8P03U8JOUy8UC1Pftu+t5GzAgKMj3X5EV1u6pKESa1ebBE00pgxW2MLzroef47
+iK8KMm+K6V5r7x8m5nMtOIoWBuI39DNepc+xbGBFwMHlu2c0xlRE5uzp3IexrOsuLtXEo71U2y4
yTJ+/MpoNw66WrL5wgEseQLHhjSYLDVGCFgIUhNlOruu0vPexgOxtyUnuBTsP8bQbrZ9MQ+A87qH
ePDwwAPFWA18A5TN9fRepxwbqygsiHUfXBTtjHAw03bAwAB37ztTLcuVcPqRwKd+NN18OPPd17k/
YLCNPrqMUz9PnilZb9FtbiuDmDNEKcWWHs9cSbw363hU8YVsrvQ0ouI4eqnbsAiwnTdZBPaHslO9
SRofv75MDmUX1k+QpVuSd0BeYx8ZNEutuKzfEY7BzHen7s4rpvpcAR34ZkFhrPjkLtfgxEYnK8qd
kkw2vFkFj8pNWMmMuA7N/r23EPOnxbnX6XwriuimamOLazYvEaSXHYETTVIBkkk5VJEQnNhLLxI2
dWHzsy5GnDdWTMaLk9r7imS1FkLzqmtS4oWMrMCRRB5AuwRWjH6N182PWM6k30JNgdy5JTM2BkdW
+2RHurnU/rc32miD4fHA+cmIxg6ldZZd65f7QSedu0F81P2cuYa+0xnQTY3v4V5kcY3dHqsO1xvJ
Bc+Ip7vnjPhwYxNMWQHMlfyqh2kwu81Us44EPwuitSMzD3XyZL5y9JDuRk7GXjWlQiyKS8+0GApA
aYDbs2DUER+6TwbinGPhT3OBiAX30saO1TNQYi7pxr/zDdnXq8I3XsFNY7KpKFEis/7O63F8rgsv
X9PPuzsSIbm9bbsIHli8vo5QTqsSVR9c31v6yJ3bo6Ps7P4dzeNLOxcwiMrMfiCIpNqVARG5XHvB
TYknItky1PXeUwnzvqKsiGT2K42dvV0RpKiSc5d4B93BEtC0zQSoOkVU8GRVKAgx/OfM6KoUBogw
m0Ml+/vJMB8zM/7FhfbKUuxLSWffjKh4yUiACiMc8MVpzWd3mgX3LlVYGG9l6XqbFOTkDTSJhcdX
AM+enOY2JGYsZ2QYb/ToqQ18+f42MonW9OpGC0Ybab1JpWk/c/z6l2lW6IO6wXDo54MSvAtVpxPf
YgRMzgZGjE0yaPvQzMp8oIqbnqo0n3fOoOW9IDpUFumXE1HAFqPT42XAGdDk/Y2bLo72uDJWSpJW
hYAIljdimVMIDWYDBGI8EEtnrqvW+ImvsD5MTZ5f6Ny5ohcaN6shhEAKCkg1x/KidIiT1XCaE5sm
61BXOjo1IWEAxgj7naj0V5Bj/sYaWATC9TZQj7PsfmxpDO+CUIg9iVY//RxyjATGQYQ6bH/SU46s
6CY4/d17w+q4GSq5SazOWZGiQZJDlsJwFMabRD/9Xhba2CbQu19Kh/xdd1m2y4lFIfpO43s0QpYw
iXAfEIlH65H5DaM/hrEnt8nyQ9ewrusH92DrzuVFLaJLGMHX8nwuqajKN8Ch+rc67pqLTHzgnEnF
JlHiG121bmMskV9A2nWmdiJsWj47JA7EUxGusSIaO/ZawXpGxL2vhz58ARHUPJiRRWIESUePdlvb
t24CLZIaTD9WVl6+tRG4ZLsAXGZIOT2SqWjCDOryr6oQKJUJgv0dMHTZj5gtQYJTQbOhcS4YwgEz
zUZZ/EzQrV3Ak0PPFewKz7h2kqcoospjDtokrwoTC0ct6C8SvQksyk1zj2rbvCWDhud6iAjmiJU6
hkQgHlDfRT9KZxarkJHbRhu6+HKaPrg1/Fq+TkIYMEg0tkG7Vx+BaqLHjNH4U4VZ5KR9n5CaVCQD
Lz3jOsbECd4DB0iyWi7XMn5QqbObWxlTsCn12sehw9hz1LeezfbB1U1566hOnQtTets5DL91yfaZ
zXjsktY3UbqNANSy2fU/xNiyuoJI96hnV23HTjTnSKUu9aeLfb2T8gcta7OdkfN/110I14IG8AgT
s7pzoyS5HUScHKTTUZATx3Cq7MDk1nCC3Vg2zNis5D4zdLntIypzPwkEa1HBkMuC+mHN7R0mQQvv
FcSTweuKkz9nEOFrKzh2DM8vUrfZb/7QZhtCsT9nXowXj8xhROv59JsYz18dLugVyKmIBbsfsfXF
9cBPSRBCwHwt8jI8Ezh7OxBk1jQiuLGQr22QsQzAwmTyliwyOz3nHxVInXUCpeamJsawkDPAIXZx
68pS+rw0+Qiey+9G13uJEvVcdcEEfC8ONjVUmtc4tgxM9aOINjjLyMkZGNu7DSbevm/FxaEEA0Fm
lS9E1pByVpnDa2RKl6xL8wmHUbgD9errcC+yJjuFBQg97W68SHO4TJTkprkzIjHdTuHc7GD3jou+
7C511CcfzxH9OhmjfQXcV06t2jRd49Fzu86+nYXNUsAE2CZtPqh5iL++xUvQg6WfY/MWxGCzzdHq
LrVBAtAJt9BQG9aWPi88+MTQbTInaR+GmgQh5CvNYVABYRcyLSDqq/QkBqbODVmRd/08OXs8f826
lNHN4Nmo4KhGo1My9kKvcnbVmzhLLYtAuVCFTJCtN9wW2KZYGZPQjA4QxM66qg2GoZk8xNUFBAHi
4GjQl4KjkOGlMQ5PSqblB4YrHh47FuGvNiRPiFBhj5Aacs0IcgHc91C0wngcHVl0xbF1BlS1uJA6
ykw53BJnXN6mXSp+cAO2t7WR0+bGLb94mjW4sxMxIgIwgncC/cJXS/TOthnoW1bQ7+hPCYUCx9xm
Yu8WQbf36shFUzNmp6lz+yPxsBJggePs+8Fqf7nY5nEax33yUbFBZM9SzOwIah7GgcOTlyY4h42o
jh2/5CGwNLssGIPrpFLdhm/gvNNL69ehT4qnrtEO4V5WtY9FWc04yts7m/f0wSosfhkk+K+Rpb/r
PLW2dELJKTYHcTcJ/l8/hmxpbXtgbiCXtTXz/jtuW7EtnCUoOoxxn0zGxUgJGcpyB24WhcUqEP+L
vfPYkRxZs/SrNGbPAkkjaeRiNq5VyAy9IUJkUkujUT39fIyqvpN1Mbene9GLAQYoFKqQ6SHcSZrZ
+c/5TgO+N18MxXbiovHMKbetWQfyBzhCaj0Km8qXsiquMM5u8Xtggopcnlh9lEAU67NT0AqqErrq
ATvke1sPV/OUwFsckq8sc9KjbNqrom8ZXjIkoPN2fFYcfnzuYUn4/UoH01vVlMYpSem9+W/RPf8f
IquwkDj/oaJ5/05bcQd59m+i5p+v+gdZxZYeMYBvL6BYEgJ/Zge84A/H56TrEQXAYfFtPPzLXijM
PywLsix1JiSpbOEgd/67qCn+wKuI89AVgniB6br/FVHT9xb74O+6vGWTQDC9hXArhcQD+fdhQGXW
o4G5SO3MAurY3ghHFV7RTMFuTwWVR3Mrgs5Kjb2iDzZNiRY0nj2Xm4LDw7VqAwoXCzvyz3YPvW4Q
o7h4TQDtjZMO7nc5tAy5Z07FVJjqwtaXoBh3WqYCsEAjh24/tWTwV31fz1sG8QYF08C2rrAqty3z
2NI7xoGqSeXqoqj3HqnCVxhqJK4sMY7RllgcO8CsolgVjlIYXUh/eh+CEfQ2ksGAnS/wb+eMTqwG
jMa2qOdsHSBvbutGZ/e9XTefvW0a71M55sWjmYfeR0Gj2YvN+L9FK9WLw476pZg0g4rQMmX6nPt0
TawAUQIqqAeZ+XvZF+MPZZqapJnb2hcT59crbTMh+clpfAUsPA6roTTr6wSh1twUpZXCQyg7EkXU
QZLlzDtDzBsPw15ORo8CiFXfLuDziNrOGx68DQ8USwevdWWJ6N0sweStEiBl2XbIGo0dA4/ltedY
7qvfWfSTd0NMC48TcJ8rJUBW9kWv540BrF+c/X5SIE8Z9VvHyipBwi77Sq07RAe76xS/AM+rekUP
ZkENI6M30Wn8IalT36LPOV+xZY2PgXZBUGnWz3I1MI481cQ6K0JbA/SWfKifClXm+37GLYZTgegD
tqmGEahJmvQp1lH31DR1FlEOGIDLbmanure8KG22/ATjUz90+W1ZN/FdZjHo3oVTFxzipFN7YY7R
SxqNi2/MdhH4NkmpKU/w8VI9Izv17cmzBsugHGc0LJC29MseDKdP313VMwoPqiwSZ4vRLgNsdHg+
M6s3VgjC5oNqeobqBLcmyoOdtOk5JKouBL9OZHcdsFQ9aW/BrGv6el+h8vmXNAmCjO1RG+ptz4Sv
5oKdsFOozBsQmdqkFPsBEBensYEz97ZriijbQI3r9w6u9AvnMXtRcPzHLFWcBmAeUNFWKurLgr6Y
b8MUb989hdUVo33M9vDrxK0Vz9157M243ecKHsjKAob0Wto6O0tJFR/7AZrY6s6UG6vkwLtDf+tO
SThR9miOSwyZNtdtUFbeaxCBxyVSnlhIcNqI6g3Hg2BYi9rOd15jt0dfjF26Q3TQO7MyKRkeIBiz
ixu66N6h74CmoTgNXmBtNs+pmfsfXu87Zzn0EHBolvFZmiYa6yr/WfeJn5NK5kQxdZbzLt0E+TCC
TOahUQ20DARjrm+ach4mLJLaObWQA1kic85tO44o+sUlIvMRpxFnypwzQr5veQ6kFBbPWhyohQFT
EXkm3znEj6hXeAnweDV1RKSpohSNrCtJr349EoKI6ffSEap6RvoAtZ6VdCKBaG3s2m67deAzvQX9
63Obs8+ZfDZ9ASgdzDjBe+UYyXtm1EZ4sIM4/0LzsSAvReJScodzhjZV/Nl6XnUtZe3uRxMUTxxo
L2EqIZzPVhfpjT9JzyF27CXtdcRW882YYf+mVFWuLbMKLjSfRI9cUSmJlICrsmznasdiMr1mesqv
G1KGwxrPCfGiJovsPVawMlj8xZ9pi39QRmopUZ4QLuKRYbJOLSgXRWf13gVo1PyDh41bPOBaDt/9
1PCv7YgLgmNi054Uod+XZBKMl8B7SLky88J4bsyRvmLqLtHg0fdhedcarwJMAqBRMrqYNKR9daKB
VJE1iW3uScdl/pMzGinFL+TODKgHapKETFpus4GMnFp3JRa9q1ZOdEuGlfvgh1ZOB9Kg0Qo44Gwc
pTqa3tIqPlML/xZ1VnGge5MDjl3r93zUNc25vbO2Fc4Ld3QpjOJxVmBEaHDYDdmMnXMh8SzJYRpV
A0hWBwofy1smAligeybvTDw69yjzZn6B1cpMA0C6v7VqSkTBYHZO8sOkJM7l74bJE2oDwWYd+zmB
kkCAvLWpKMucmf0nARrrCx1T3uAGFG8GJMtbmEvVTjSjfsqj0U9ui5ghEj88ezrQJkP5RhnreMC1
OYq1Hurky8OQt46TtvK3xoyZd933+SAfIkP3v0aZ2Nici6J5c1tHkqRRqo3XIWDeNY6bqlsnY+gy
I4DjuqUHCx+N209Ya905vNVtP5tke8Ko3/id5KnlGBZGesD2LNxZeDDhh1JKARLcCcLhRxbI8UyM
yD5EIFYeqkLHdGP6/bbGzX4Ks06/qgnJZRUVFaAdxyk49i/3oYF/Vpac+1tBAax3r3NIAsJrnqsI
G2kYIffEKSaMKnHDcyLAvqLPOV9jnJrHKA78NU1JkHD6eto4U/KWkRJZhY386Y7JBxV2xt5KyLp1
YVQgRiNZk9GJRue5yzhwbauaJzEOFwXDlmnoII4OpiKxRvJK6+PghGh7uCArB6QXpDEYY5PAYIYx
EOwyLlb4rLH/Reaeagzb6qynuPaNGc5nl7iHIcv98RoTVvkVEiHA39Wz1XHiHBYlR7nq4nTEwufA
XIyqqbG1qSLjWkF6xkTibyQ3hNrkIkmPVZeb2zhN5X3mUjTi9mG+IauWfWIfs3/5Sdi95j5lPuM8
qQ+jAXSGtOAkm8HEabqCOutdSyYrtFeC8GKKkMO7gMCUeZcprQzj0YmTnAqOoU+qtY9Rr9zYTUJL
TLNEA7YFF0y0KWq8XVv6XoW17dtoPNaJIa4ba/EZ5iPgnC20F0LnkjPmMZiF+uk3IYMkLx+4dkBY
H4sC6PWaJ0IvdxBu/JuZkjGIOWUbXA1zHVzMzsZl01k6/ihqJU5u2xqQ9zFrftR257FRAbf6Ztqy
SzcTXmSy4Dh+eVrgzJR7DlMFoiONVd4RZA/NCJML3oU2vvTKan1oQDoTkmLVkWLQAv8+FiGOt5Vn
qyc2UQQoMiK4n6qZ2hcNPe6UF64PI8Ze2LEsSuM1XDjGpTnzeANnoRtaKyWs9EZLK45XwnO7Te0Z
8byxsq71LhzBCrAVlp/yOMNaNAztsvpxQM9ZVk2+H+mb+crNuU3XI2aGTQFm5m4I5upJ4CmT+JyS
6ugbElF4aHR6INja3PUpFQsbn0TGtNUJX/LCfGhKblqa1a7GVLXM823F/gV49Z1dF959qFpJlMf2
OiYgoC9QZbTNddK7mKoykWtz16t006J/bPouJkBgsDG9cyNqnulph2sANYWeLR7j7hNouYVeXcVT
zUS7zJqtH8PLeo7cFF55W9CdlWGN468My+4opSuyZsrW5e9sFMJ7wrpEKXwi7tAaGmLr3DbU1m2z
IpHlCiUHaYUH9NQxoYi7pyx0aIULWaNvNICxc6n7fsst0P4stGvdD1kfq41VB/ldPI/Go92YwZPd
j+7e7oPgpwbK8gjSeDj7rmu8TqQHGck0KRDxKtWvPH/ZLjhNZzvrAl7KHm8nVtahMP2jWUbTM8XB
sEfpl8ifsZ/UHXFeh1K0KDfTbF+hx1PmGsAXWkekGenapCCYGi3mbj7h5TJsD8wbCpB+Pfmbqo9B
+ivbo6vcRPhCkmB1Wzlx3Ez7kCFZcpo7LzuTBZwamMGWagGk5g0I2iAPfvXMFD5VizC5zkkv2lvF
WerJoZw8XmPJHltrb5JpWOKPbeycCF+RJBFGWqc7dx6GHhwUrEPjvaJpgnYbO/cr+Lg5OaO4TGfs
qzQT1vNCka/8F8YEln/vQtNgLM+VVjs4YC1XUiGs38FYrNQU0Yc+dNS6ETOW28gG/7UfaRc6UrWJ
FVXPWLsvMb5tTN3CgRtJKIgNq6gkdjrffTBZb+ikDqfwDgpfk9/mNATRwp3NQWRfcodZ+z5mqp9v
Cz/SW9sUpifWoujhaIJ1cVvGYCXAr+Yqniu2R1Q8aKwxVl041x08h/DkWqqPb+gF1gR+kjAcDqli
TDD2bnlHXqcxSIaxJ3mYUN/mfQDjSezUOMfJkZFikr6gbrfFgZAQY/468yf1VsyT+R4kaQZIbtJu
+JZ5EeBCOUaWZJNEJUbE5z4Q9cHxqNhmtmOTrC2bvqZ4KZs034TX4zdsu5YEbLP0LoSJOwUXlu9m
OGS+pU/OVFgtxa6UEVWAs/Yd1mK8E6E3/ohLGDRHatdTcxcjwPuwKHWUXlWOHOQazbvqtlQw0xkF
ztPYdNHg7SeyEOFJtHhidjWBsWaBHcnwVDZ6amxo89A7VqwMBdhnw8vV67g0j9TNOBVXFEDaktga
yTMswfggawD/5RQcQj9YrIhuIeMnFilPLaHskm2OOQwX5jqEI1dJovriMfYmJ/2wuIeh5+tu2pRe
TViOEQKRA1N5/W3aBMFryubOWbUTLoCN4tcBxUNb6nywIiYz9MMxIdj6oSsd5gSy20m7JSE8+61x
xoP9GqQMSmDa19EtjRmsiU5YvxliRDAmTHObqug+7RtTb9okA9eBmRAH5yz6dJ+NXo2PO9QNWP+C
ZaoktfMLw41hHy2CUsYGiWEBbeTx9DlFrRA4Di3GDHhn1Klpev1Dk1VaQ1USrP8unqReNAZtc05+
ryPFswk+UHaORu5Ydi0hTpPQn9DnIiPqP5T0dc7u3TdBMHltsTgPONccEtXieVX9FD0p+KV8Hv4y
E8kx5N9MnsjtKwxifbTh1SYye9mbxqZJq6BkbBiP4FxbcwkElfKr4dGfbMfGVo8KA8nCVanb98Lw
yiPN2gYF1DK8yDpXwGqK2fJWeQRnaTMXrrhx80jcMyt29nAYimPKZHX+EBZvB0j3Fsvq2D3wzgcH
Bwgkr68kwbhhVsfaLMf3SJnR0zQl3fNE0jPdW6lln3phLXjHYMLd5mNbpYZX0s+NCd5cy8oyi83Q
u7W5KUER5teB1ph1ZoHavzP4xZ6aKAvOPsNJaoKzBVtRkklt0P+pv1Bt6DWbzk3IFMD7MfvNAGCP
J3YTeNv/Ft3yX/o1/4aRVv8wii6Ykb/9z/Y7z3ynf7bT/U+l8z+R05h2l7/5n/3Dv8AlD1MNuOT9
q0jKTaK6Nvnsfpcghe15KI3/OhX98F4k+b9dv3/p/8PL/kpGm38IVEZI+oGLbdcR/6jLkt4f+Crt
wCNOBBH6W9T8S7q0xB9OYOIsNgXhaNt3ERz/ki79P3BQ2rzKAfeAmRN75zdz+3+7lnnv/qWLeXEp
/y5cykDYIFkEbSEB0xR7yU3/xoRuG+Frb/TaLY/1W4sBD0mN5q1wwAO37CCNLjs5PP0JQMLQ++2d
uv3zm/wbnKvbKik79T//hyf+OZRN7EbSTIE47AuEWm+xWP/2zRGWzHTgNttauTEfwo6Io7FQLNpR
javFnIZmkdpggft4r+nFJetmmZ88aiPIUSMx7bhzFM4NwjPXvcsEZJxH98wJH8O9m4hT03LvJ60K
rkSimIS2tBIeQuIi0yE0axw8tbxj2+1mV/WSNyFd+SBQNtaSQdY1GN6KGiWW/BunYqYKI05dsXWl
WSTJcGq5hMlzrOu0MOZKXEtnNh7wGLB3qQsx3wEdtS+2r4wHSQ4RH2gV3AyCTJ8EAE58b5HMDGN6
TBMYtI2EoGzBRlrFuaf3PFLcc4BGsHdJW1JVjSqOudIw2BoTJ8kOjmzsiyQ4ojatkWj8oI1bCaqQ
jKbeO1KE+yhhD4tVy4M9ykj0DUMdgZXMru17pBvIlIoREU9wg3cNfN1h6lN16TB3cTpr4uIO52n/
E5Kj+YqSojgVuUY5rU22IrRM2cPwMtBGT8OxPxQ/SqGedWO4254GBWiG3dkvnXNQlvUhSlt16Fs/
2ZPQffO0GQCvcEZvk2uyMrlW2ibJkurkTGxipIG2GMdrjTjEh5Vl556UxD4nO7G3QaToddr41aVk
3HDEyIqC0cfDQwTHec9JO9oAXpx3SqFQz5qPW1mZ+Q7pDmp3WauQNs1i3GcGNTe0fl1Q16NdVrf1
lTDYtNrSLcnusH5LQ/kHi5KUbcCdAyiz09ZlSoa4RoAtiPemQ1hjMcSYkbfFvAs06cZIkuzB8Rns
esdGgu60egYP5z/TAG5e1WnNNR25Z99qsOMu1zk5dMpPcWhfiakNHnri7bTN6G4zwLjaCnNUCBRB
jQ7XxPTQoJk+SEyglKW4bfbDj8gTb3qM1iA6p4DygQ3VoJbG6psMb6mvhbWrPeyOvMVmSbeD6hPu
Fmtws50zz1CBxWADlyFoPl/7pRQfpRN297BU2IVIIv/7iaLZH4MI5c+ZE9UPOajgcRG1cfPF2nhL
E3u8gB53HgTeRWszVmMjyT9kAULZ2Fctx3A3HHaWYTR7qE5puh7MJIpYoIiHHglODR/1NGII7Rm8
XtKWfuQ3Uj3TfpbutA6ALS49zV76ocY2vx1AlGyaSOcPKrHdA7HmoypREvx8+DUvu+2iHYddVgrx
C9Gm/qIlIT1MkZtcNTT2HOeWYKcV1mjsUSN67K0x8BY3YUnVo9U9eoMdfKahCI9G5aHvu2wBSjIU
5HhU4ZJ9oyd9A4heXc0WsAhCTO2zCHMG1HqwMO/M7ns49+VOD1XyywbKusXWUN6XEOcwTgTWexHN
3i3FUnofxiFv4eirR85x1T7vwZ53ZPRe4tRtniCuiUfCH84xVujeNUt4uHGzPmOgo7NhXysFtgKd
Ahw8ADSr/UTDK6NzLNqI+W+a+86jjaEFwjOvfGnnkGKWKf4VhsKTB2cywS1ZMRbRAzGZ2WFunE5b
MnM7f4pRHAJ2tD6dZ0CL1pEJngcpcPJWipFzuxnTPnnnShvpQga4ywOJ3llzYyQ8jYEc4HOIMXam
O1kTOtsAQiq2WjYyuHT1VJxmMVnswB0aeZmW2/4xxIPxRoFRgKI290caxsJnJcBIbVKjH4xNWg60
TmF45LYhaBa+s2dGIQ2xi54Jnw0wkctOHuGbJiG7vGy+s/CpIPoK+JNhBD+cZrf6usOaaZ/iwg+2
vTG9wvAtbUp3eWNo9TV+lFrUP/Ht9rheq3g7SBu+rKk1ZiBcxh3O5akoX7j4MQdjo2T8juARiH0W
dsyOtNsglzYD9Md1IRtoVbpryPY7Q229jnUPgrKLM2sJxpVLb2HTvRolpuGtzGrnGUCS+dIk1Laa
zWx/Jrqz18KZg03Qze3OzCN1M6Cwfyl4Y9cYZIMUZ2cHAMzC5j6v83nJkEec29b8tYTamQYpLaql
eMCnSyR8cLjpV5XTNRxsW34AsB/ZYqacURsHi2g9CJ60MFZ0jNRY0Mmym6uYMXi+h8EA2CqMXF2s
bXhn487/Rudj3PaJ7i3rDiHf6omlh6I54GLQp6uxrx+zhcOfYS3Y8ZFh0l4o/U6Wjxdshyx4aOPB
ylx4/j0wynKVx8LoKDooylu25IAgHG4HfBYScyrNACrkGM8sX4qbFFPCNVt1DPCNXV6gUyJeIL6c
i6ChiShD8Vkxl03pvgJjR6Pd0kxgWHAyEftmteBHBnO50XExkoa1t5EZ+F/pVHDd6imh8gA8gvrV
Tt/y21KJgFXZ2LFbZycE0SV+wY/gbHyz6u6MjLxm5423MYSV+zkboiero3yhWlBatBEyHqtjauuB
PbjreClsUHEU3ygJ6oO3k0IHGDT9Z7+UPMTffQ82wOtxhffSnEnWCnMlHLe98uf4QuB8i2TBgqwb
tXfMii4JaccP/VIv0QPchYrmNNm1/V0/keTi2hktD3Is9u77sYMEjSBonuNwwihFiUVPcJ9hXr+C
d4YHKvB2yVJ5wQb20+npbecIc5MttRjFUpDhpDXfjxd6O+qN5QmPMVUamWfD4arjHRm/YRlglP7t
EMOXXXnKEoBp7aWXA497da5wyrywyuGJqbio2AexEfpVLMUe03fHh7/UfXh26qFCClLoiFz8QEc7
LvBT2UTXV4nS7U/GDnAcHT/pPvU33bH4Jj32LdBHTIrmhSRtT7YZNDhUyG9CZI6goTCKFOFwXAJG
fGlCNWSWv/lpiElnNXWzXkO4BbAmI5f1sF64a91CYCODBJT4G8u2bFW8VectuDbT951kmy4Ut3nh
uTngIp6ocAYl3vRJtiSc66XpiN3Xtl2IcE1E58/W+gbFFVMQ3Daqnq8zs6X6ZyHKfZ8UTdtO4WfB
mxux/Jrr8RtDl/neWB/pTnRwvhQeYkPPA7xeL3OYZNW4mIODb6Rd/423EwvpjgzXAr1TI9JdOS0w
PHOs2os2glhtp6iqLvHCzeu+EXrMLMHp8bkw+wLJhdGANBkPMTyorrq03yg+mirB8rXMTSj3QGWa
CXUbU3gTAbErNyn0BIAq33i/NFtQfxkbYnfnkrv+0X/DADWlGeY27emxOwVe0/s7KK5sOuhoOule
5j7bHnNkB+zRJ2VNDsw8PNg0jnEqItE42M8yNj10RuD4J8vBE1gsGMP5m2jYL3BDHAI9HUoeM18Q
q0MzIMrh+9jg6WvZstbAxeYyh0sAQWDchMaMoCpNtlHbwaY7mjmJr3oCrh7DaT4T+IsxiL/nPO/T
p3bK++Qyf7Ma3W6IjnlFxhJLlvHTtNIQoW5hO5qsKseJ9lnGowv8kdEslCXkku6ZT7u+guSd5ihR
ojtShMMRROX2eXbwRgRu2F0KXL7EaL6Jk/zqWwrUAirrPWe8rmkXizcyhm8O14iqig1the4DNB6m
sf+X85j1z8k8TpmBSRs3FHFgWdhj/n4cY/Dd6Txxum1omTmzleijTMofCEgvIih+wDRhYZUYC9lk
vikM6H/6nv7lURQ3zt+Oosu390zTJ0VFXM80lz//7TSYhcoussHotm1If68x1+WFNz8//8enzu8T
7e8n3uXbLOVMAtcP/wT/dOic1Nzbw+zgM4gYJgEirKO1NIThH5yYNMU66+vCXtlBGX+VLE82uUJY
3CuL+eELsBr3OBmlvnj0ot1npHCulreM+hrTBoBDoAIjSg3lDwV0rVkXu1sE2ir8/5S6n/8ZSh0t
5pR7sxj99pkvqs/fMLQPP/P3Mnov33+XZH575V+yjPUHOq1HUNbj66GTI0786SiT8g+bqCttXJBq
LdezuQ/+XZYJ/mDHgMkLg7ft+6ZPtPYvWcZy/2DLE5CMBm4rsMj+12SZYLnZfr9MPdcVlkePKYED
XwBS/vvdkGR0GxONidiCdPceyvuhgBNPAQRMxcAohp+pT8mK4QUB2G3swLhMFXQlTxxYKcQuqLDF
b3uuS0AjnPvuFEr1ziJyeOyWbGOcM7eTYeRdCT+SR/RKWlLRkr9aO6x2EM9TyZesuw8FG1pdpQu/
b9UupZucOeOnri7VVVO1HPS03SUhkBbTP8tx9o/JMFCPxGmXMgeAKpAqogGYrXYMUN7l8EmDRssj
zj+zpexfPLuA7FXVNulay0tm1jjpHFoPz2/DI4AWrNZpjxyK00cYTPREl403MBzLxwAKiOMb5bpk
TnaTYWytYI9bNTgGI3CvdOgnJZYR6T6Wrdm/BqY/T+QQku5YB2n4wCQaX64N6Qp2f+PF11PWwjHR
xgiXp4tFctOxAjy1pZtkW9B6oO1RP1b9MF1bWJ0OHAeHz8osCiT1nOeVypW66bLRIAlCsyMoC8t9
Cs1BXDohjIc4k+aLUZWoaIww++PU9AONSFG5bUUEjXwCo7SOvHH5wXNYURk/u46RJCq/PVSAAy9m
niDY8DGXH56u3SMgI7ZI7JZsfkg/wF0iOFBmZmrd4D5g803f4UTdFxQKTlyiA8fvJXub/RfzRKs9
OnHob+h5PVVSYZHVtpEym4zv9YgPdoAlZq1IGrHVxlMNfVXPw3sUN+lpgHV6xQWl03BFt5CB2bh3
tlEucVG3waYfFU0/JsnkYG69gwQ19lSrqoM5YTRny2D/aRiyYLA4NjeSKdq+KqoJ3W8QNzFhvy0p
u+jg6cI884mGR9tQza6YM/Otmef5FDtReFvRY3w1pVyoLcHgj474384UoyLFSNCaWNRD0wzrIQAH
F6Y6vqWHCR47YZRH3CjhLtK+855YejonZuswpGwx7LDLEbJVz6ZZv5I5on9ZsjniY3pSQY83sNQd
hBsZuMmPYhwO7Zje1jZ6PfliryYkObPtIMBI7xumqkbX+uCWXV2v2dtlclUTb37gPgAEB8XpPshc
rzxwwkhPOaOVFwUD+4F5fAV/SljCp0SFnhHYhAKAStIuHVsN8SUwrO61yduH0tlhqEOfSo6E6KCc
FJXnPJWp71y7hQ9Mtl3sRFNBHiGUQ/LL7PN61wLp6RAfQvWBE4ndh6abgZ4Diy1zl/CgwPMFPZrr
ZLqNnSS+42CB2T8lmANey49u67GJOD2jXd2Pvk/fzQCQaIuC3b/WSYovM3GG02SW7jXmQA5kg+hn
vhJFEnmvrfvAbuTBnxtKTKhG6B/8YLQfdSGHgzeM00eQJ8XD1NlVe7C91Png+k5+xV4vBGAtq2Gs
N9nxuxXmDsoZDlVMMLGUhA2AuExmYTNFTQvR7LIqbfZD1GBfW0yn+1pn5Q3mC/HQ47Glm8G1f2SF
EmQSMeateFO82zjRVrGxvYa6GEp28cibOrqZh9S6w9Ph7fGFd5curovPlEuYTzUU9hNKXXchSCrY
MM3NAfooFQVoMNdlWWALgLRDBgox1jx70EgOHFSjM2Sd9GL5Wca5yXUJoraGZT1QizeorfRyY8v9
K69l1hV3fhuZ9zQEUNVeW/DVTuyGiWXnhYnHiTbOz4Ee5jX+drWWJjnONWmUNbG6U8rMlns+xUeA
FbDH9GZU2T4phkZts8SPT8IEQToE5bWZtqB4LMOlmFXQzBIHnXUYfau489JuWLvcuFsFi3Df8i/C
R3P5Q9G4g2EqQWlJgps+TaIrum/8z0wEydUQhdnOog8O6b3rz5FX2ERiXfMjm5vsqu+BDaRl2DHB
duWZ0z2foR15lzBoMhThFBFBqvJMCznZVbJ6w1YWxYelQFrlltEehFN6z0bc7DxfPwPLrvfc+pSi
UD4SN3a8MdKs/3Kq5Geqarn1lDGtY1rOyBmjnOeiIeHjNHtXuw4U0eTGNhy5wQNk3NE1xvR/jspj
ZIQnM2qxlVXeaG673JhepnqRRUO6i+6gkQsBp8Cot61jw3rJH+hZGcFbcrCp4volNyf7mNcdnXFt
8rFIWfmJ47Ck8B3H9GaIHHQ9ZLhx19God2/1Tno19kaNwFJ3161tn6XvvumxPqAe1KtSYSpBNtA4
waFe+pV9sZxuxvUFuJGgRUsxN8iqismw1Cl1ixSfkOKYJ7rF3KWzIzb5T105xb4R6YlKIw1s1J2a
aUPKBmiG5XeMDVEMa2T6/L2YcowZzCBeBXmyAIPLlFyRee73ZWw1YLOF0dw3HWXUczP4HAwdqntl
P+pzEUdZge8NKp4C7LiatSF+Fl3UJ1uWeBcYWN3FbGaMiOj8oBPsubViHQCxCsl0silUWzPt8T7L
il5x6XUD2OlYUeVCNlVS0AlsWk9rhu9XVQU+f2IqwKNqSh+Egm+3DoNuoK0pHMYnAptfAZf76+zS
6jl0V27s612mAEvwQGzuE4/zc8WcXnxPmvilFuJ0Gtl3SJzzK3AOihyJkZxS0YIVome3WZtDN61F
0EKc8zP3Q9lZ+MYst1lFFrRfPxDeqigMuWtF3T5WsqfrCJh7juZzYoKtb+s0jJ4yF/d9gY//l4Ch
94Kfp97ZEro5Vj9aGQ85A5jDUILYXvVMJkAaMMNeuY5T3rIGQN3Ms/4adwaEQTZkTwmuzBOh0fHU
MB7Z4Nc3j3XhUpZZS/eCIF3Zazxa/jFuea9cZMVPu3HNA43FaiMwM+5UQZnfprDcPZyM/dxlj7Sp
0yqMDUe6Q7OuRbuxFRhJk8opn9wcTtZCb/XQ/hTOwH6u4lLELYAPhWMwD+JN0Q3FBpfKBrfLnSEa
2vWqwTkSNXcPSRFW7y7PMxp32FK4qmAID8R8V3dJxQpjQ7THyXPn0YR1icJm2OF2C69KtEo4wiFs
rLys6eYGdJUI+zrq9dm2p1+WpWKcJSxTIwKi537pXAGbcCFn2Wy1roOscnZlNFBoT6Ho3pg5sKuB
VYWGlf6hA138CGE5h9Uwgtu3xmtzqWWSAYQOEPkpk4yR0oUhEtsshCszOXWwgwwzxmshxlde1F/o
JJk/Wh/GQ5ia6c6Jo/IC7188834Tc3Y8XVKhUidyV8eZs3UjyFll4sQnGUp5V+N4X4UMOM8YQLIb
G/TuEqgL70wM6VSclxm0FNhgq5gS71vuUNRK5Lf2wjmkuCsj2/05Y+cngBCWN2K0rWtX295Jt7n7
M4jD4MrTgb9igpX8EOBVzq7pAXZJmzJ5Nayiu+KxmR+BjA0boKif2FSDg6TuYhM5qb7uHMt/xQzc
bcu0LBGfWejZF4m0viJgiAm3hQFCE0akFH7ReuLpgdE0msdyl3N0OgQt0V/DldN9mKZq3kA0POEh
DzelEZQnMcKnJ2Vf3oxF/FJhu7g1wzrDguY3ByHrhEossaeZKEO9SpudTJZkGLO0zRRbYDVkykpX
hxEAR+yXJewsbGFeQk4yc59NjjK8zT7ASc0Dj/1j9QI9wX0Lyjw7WVHJBdwqB4s4Bpv/Rd6Z7EaO
rFn6Ve6qd7zgZBzQO3f6LJdcLoWG2BCuUARpnEkjjcPT1+dZF7duFbobqE2jgc5FJhKZCknuTrN/
OOc7qyUZ8LVDd0yfE5sFUDl46KuaZfoVz0W+9iT3XhzYfOeZcZHyuccnHyRB7bc/vF4n74ERU2WS
gcCmWH92XXJYknzHmrU5WBBT2IrpCzcq2cF40+vIFINCMGNEpkkOOm1Wvwqa8RekuQE5eVMes+7u
uWPwfXCEZR39CdGXrXKSekpkxmMarEMTcwsmXOxqxfeoTWhzwLkOGXlGASWsyWCq6H7NeDdO+D7Z
ELmyyLf2iCYtLkdcr/XdbL+MvHxElzwZImD/lubdBSVdtU69uvky+cA8DrmlEboASZB25q9ofSgn
2tAAKjz35xKk+HpK5PwSxwRxEIJQ3HIrXPhVWO2X1ZL+ohmzDxrNZ4R4yCUvqW9/GMYyXnO9IMFs
K8f6JP7U+Fky+dq20mz2bJ7+coQURNYtU0nTA1D90uEaAnJJRmuAXQnNbJhvg2Zm7n4nJC90clqu
G8X7JZBmf2BIGvlkIfiqWbywtxrY9iIMbLlSamCeqMRB/8ngT0jBr/vwYaqIvo0boM34KqMQASrl
qXkkR9PclH6JzXba4wN/DZhCr8EvyQvOFDYoRTXvVeAn29ntWsROdX9gfd9/tmatb4tGuhYSHPZm
MJsCI13Hv/Clc33OQ8UAuhPhjrcHJkCp/TMgvebB693y0w/igdpIiENtUtIiCTe4BQnTQC9hS3Mf
El0Hf9oyWK9UFUd8K8twZzspVouxRjMNrzrYxl0W/DLDGaxIrMS8movY/xl6huevDJMM2oYSadOE
c/jYYzf+aCctd3MaY5O0nenmVWnJ3ZFXFkrEGauSWy3PAIX1MRfL9GwoxQZAoDcl5NK3oXT6y2Fh
UnENcVvcoEfIndeNzUfD/cYRr5yDP7vlxstH9huo7BD+9uTTDr1lRuRj1M89yB8s6LXufptAf16N
yhv9ldKuOnsChwuWBgemLQCuT2QX7c5X9h9J0PERxSg6Q6RVziVILBMYhiPfODjQFZow9qMGbsV5
8hf72MW2vTXmufwYRE7luviYpHjcYWAV9WPcafFIOMbdfQ9mKapTWMkrF/T7Jff75oniGrgnuu55
32U2R03LJXpNasQmIGpEcWi8MthhlutesoYadkUJV+5LO3QjXKvBg51YLAuKSv3wTDjC9V3QTOLM
XbSKTCLuYgSM4aJBOlaevRJqXI7EQ8L5JannA5Wyfg2pQp8He+Q2WTLnrbQneQy1lX0l/sBdFI/L
o1hEgxyvMZOHzs2sc6V0u8Kc68EtLsTBbDTyi4W1Y72uM0/ctGukDbYpx7yVHl5vhgfL9O7miGAA
VIXkxvm9a7abJAR7byzK2jg1y/cVipNlO7POPHOPN5+E+jRv2m/JUGtcGoOgV8A67foJ817wA3aC
fww6waZr0KyaDLt8ZINKiZX1igQDP5P6w/LBn4DfTZ9id7J3nbIWH0tI7n0uZPhSNJhwV5qggPQm
qDphsNUrgjnbjQ+jAlGjl/DWBrdmZAKSZsZuYWi1NWd6cH4PNl6scvQdwB8HnK6Mm3NFqiWzB6vk
XbJ6ZBWdgYnRKUyQAbkagIqjP/4yXPqLicTFBCYWfHtkIi04X8dqYrKIGPbyW1PeGuhRZZwVZ+kK
flh7qtZicrGK/TXQ/L+GRvx/UGpnCSf8P451j7eyHP72P25l8z//droRvCm7/zTg/fev/4db2Pu7
z57UxYx732MgLvvncNchhMwUtCWmxz8IGfzncNcRf7fYfFgBDl4/ZBfByPUfw13oiLiPbYusSJd5
PRbQ/47mjprzPw13gcGi1fVNX/yXFQcblsQaBiCaJWvilUHBYOGKgxaDDV8/Nm7u1ZswJuqQnhxX
wWogem9jGtRs86TjQ30n1MypLx69O1rUnCc/KtJh2hdUFGCO8fKsG3gM9XZgzhDFCs/8GIPvaut+
PpT3LrRQ6fw+hYXa+XAHNqo1030NjvvJApL3nrCy2/BEpbvSGrEo0nCQCBWGB4oE+LqyKrnP0+5Y
Sg3E3grlLQg774RRw5cYE5pQo1N2RBRgct2BRSq3eiaRo25GwHBU0NkLpvkeHgVZLQ/LkBigtuqp
/418SlG8G9p+7SujvvZzK+cTQmJ5mnGoPDQ2u/gYRCw3k/vtZqSQAFachpVREehQ5zYCmRg5PsBD
L/5VoJiJlsW1T22mYeuqiqYu19mGzT+jsTgXR/yM8+uAN8s8qUTFzjosMB5tWN3/lUpainPVuRig
bNIxa2OMTyLzmy83XzSzj8bAZmKQdNm3ZDcR2vmbYXv+7ou5eUd3N+xNt7E/8PtMRB2KtCIT1KGw
KkJcn7Q63S9iBBCfE7Jl71LaSXPFdlYcRhg9tEGZNF4NgIvTeXH9mK8bsDnASlj2xbQQbSyhY53A
Xzc3A+4jGniXuCejpECXJipFInv5U2STstYanK7fqG6i2cAeuCE6FNZT4c0RDHwzcmjRaKHlYLOA
H8o/7ci7ENl0sG+5dCeoFiFLxh/KGdmKldpuUQJ4yrfWBVPvjjTTIHkq2SYewrJNL8IGQGVhG8Pt
CTLI5mXrmOu2Qzpf4iTGG9Flxcblj7QvHT/iDZIQ4cyCsOoIS7Og4zLopCtjrLe4lpCiV3yXQ+oa
M/oZC65j4/EzIVsUxQa0yz1bno9KSg58a199T8W30BxgaYkYHqeYLBvBgxQknFLaeFuHYNOHGOdz
BPyue65tu0AQHTaWhJbXZGuAH/IqkYL/EbDm4CLB4Znte6a3wNyNUqXr+gGjOhUMUX7FMOyzwDC/
Y2HMtyWFFOXwbUWECsP5Q3R6wCOdiLqNNGQrAElo/w2eH9XEq0ZDMYItUZFQW+REntH823V9N2C4
+1CUmhwRww9cZpIL/Q/ZcSwJyM1E0dOmBIUzIO/EC7npZKEy+UXTgWAB40tGccFCYxrM3yMW8YPR
yzuirFySDulcxdLbMGNxtGYsrSurCMMrLNBfAEjdA+ZK8YvCrtjDye+v7G6ah+luG12s1r3wooTu
2gqa6Q0PanJDzcvU2evyQzMzy+vsAZ554fXhk0+O3AtzIzRFzkLS6rociUblxSx6BqMLnGIwMPLO
MEM0uRm7hfYwNZKXEBMqPKkm/E1GiAWBuzf6t5D4oC+5ZCOp8ZnGRE3qHmaZkYpbGUc4e+UlozYm
Prgz0Ly7aAd+GsCIUQ77TsnsdzHrh4I3KcI4nvzkD4EMw8zrojLLxdgaYomEas5IwWNWAgYuGDqx
kTooHvrZAS7kJn7G2D/hrlc0y+s+HuSm8Tl7JI24RqIE+nGtAQACS3PqY+nQ70SBf3/Xet+OH1j/
TvvZk+AIu9JsNlMTxA84WApEpIYJo6AldqrB5t+bN9G44Q+YS+XGVKDr6qV4nqtqXCfTxDDIDSpS
j+8LP8zWzasndHgqm2KCBurKXyw93OMglpn0mMHcOe5UHCD8yY1QMlgjOMj3tkTbU4gUYSCrkYhH
HbLV/UyvqIzg8rhAs3F/fiI6K9iHpW63EyNK6Hwu5KPBuXcuoUM/hcroolTEGut9p674hNxLC2WN
wHhCVYgSyFF7jql78QY3f7WUkf62/CokdVjmejOwcT2h8CUpLzTlfqgEAcbISY5NmIq9ixqjxjGp
JqwLCD7PicB6srGccflKDCLjM7xw15KU7cM49c+4AcMi4rR06Ymy0P7k3oZ+1OVQ4oSYvefl3hxr
xdxn3YYmAKdezdUTMtfpLZvq9A+JmMl1yJz41W6mvODpGMOvZCSMCXqo+0iccncbUT69DzJD/WiC
kKFLLPfMQqhIQ9quLVA4F6iTHv3ncnL8h6JbUDY7C26fznAfwSz5MEgzKz4mCVCHxUxGoLiEOyXp
4hCGpRHECgugpG9kxVX4qtyQa0sSOzws2h/hyPTR9vVyM1AzqFWfLybEUFCda8TS00Mqs2RNi0X+
OaqKhyUo9aetkmyLumJYL14pdjos6/sZH1Dd4/XK15ZF5FSLSucRsCWt9xK29m9H1/cwZY7fXM11
uGZViiN9CNSvGPDECgOavdVjaxyXYBl+Q0IgXddS+oUFBSgr3yVuwEErdUxwotzQPrGXrEI7eUpy
Mi/YhHYsc1l3r5POu1N2XZfboPEH6AaWddKlOUYEcQ67xsloPd2ak87gaw6k+OQPdRtPlyxIvV2/
gJBUXtDyajI/iEeYGyXXyTqpQELlU62uo+iWrRHE/qvKQn1JNTC9pZy5r1EfnALDe0xNqzqoO4Bv
+ovFB43SfyBjPvn6/75Cd1zvDuv+35thEIDfur9dutv3b5X+a23+j6/8h/DC/TuZUraJeAJofkiV
+M/a3P87sErbEqGLPscO7lX7f6B8wK4gh2C9YqPFd/6jNredvwP9MflKtBcWRsz/Fp/8v1L9rdAW
VOfU+NilAezzI/yrCKmv+tDrBqF3TdaHL9CT56eKDrlh9i+7LyNc8tNoUsSs/+WF+l94YSzvL3XV
vwo+iDl0PQa6guKXLfzd8fOv33lQhNdNQuud5w7xVnaOaG5QrJjiSW255Yp0wjxdy24cPgoMBctm
cmv0EYFfOAM81dH0dmbRWPZadU7xGWMlZNdLBMH9Zkz6ddBhcjQpQNJ1XqK13Y/2HVoDccPo2ez1
9KhNHcxfYHJXTj93FYMkx/8sYTbc5toO30ozK9MNvB79PIOfaKK8Z98pEZJIBpcxNZS27OGjcn25
FYSZRkFZnlxZS3ax23lccO4t1Rc2kHXaEw2x1FYdqbj+pYvOelDdmD2zIPPfw8VrdxRTJGWUjUUP
TxMHRTrx4h+GLmQGKtuoDwwVJjJc59+M8fIdUIxtjJHg0NtTBgY0vQTp4G/1BNKMsWK+NqzqTUqU
JmPDxMwaESdiH1/J0AaBztXOUOQub6yHaRU67lPVjKC+gBvYjplEgNL5wq4VW0oF6KZ3CTbxzhnL
I/uGDwRTQehiJ2AomRbFCjnBroqLLcwmzXwEOzsL753ndWqtxFLwP9WMiUnxexq7oX1A0dkflrjr
VjF2Qyi+Q4nLE/g86zYkZAkp9f0o/Q0QYCdSEwVXL5LhYJvK2rrSEQcXj9U986ndWN0wQNFUcufA
Tl4v+Img5Vf2PkcFsSWykni3MgdABZY36hB675axA6uHSRmDrpUUh6oy3O/G0sl+cJlM+4ZnPDLz
AFTKOPE6L4XKo4qgqiiBY5qtiFFK2dlkppOtRZCWSUTf7YYRylVE+KPjqht0lryGlY39k7Jp8T+T
wQ3O+PKtLwS75TcTZIQvLD+FA2B3HBik5Q/mhEwkGgnSe8zssD3QDp4SkxqFwI3mmC5l/V4i8+a1
zjq0D+bSp8umE6Mk8ZGC0gNLWHseYxmvvpRkJN6TFcWd5FTnEBxQCgCh5C5FZ+sQoqFKazcRKlli
DkqDl1IYXRsZpWtGrVctNi2KhYx68b3gbHZOykCvnfWzTZbt1k3SOeE6ahgWItDwP1Uf0FPFgHQe
W9+p03ULSOg6j4F5uAuOKkbPSYl4tbYPuYWPiO4/SHCKFu5rTYcRrwKUTzMv5h2ZBWCWCs3yGoJf
ylq/hUmLuBepD1QRb7LvwW5uN24CgdjhOI+99btuGwowp7TechLAh11fWu4fBqhxuCXMZ+5Wjmod
aohlFsY1YMe69cIWwT7ZuyzLBL0f+iqwVSunIE9ksGFCMVIn46MxMRTxl0P6p/SvAztLug/iA7bF
YjCpm7+9JP9SZfqAvmHXmIa7HWbIErSNxV6nofPkuaQvtC5Uhj6ntWTP+BD2Ml8R5cVgmFotKhej
32dN+1h5i7q0mfmNd4Ich7oj16ovkr1JD36ufJ8VRsJv5M8lwpvSl5c0NvrdhG/rxGLd3vSkgn8t
Xqe3M5beR8LPyRZAzz4+xCqf/pRljHcYP7o8hWmAYy3LAlBTS4U7ELO1sL585B7Hwh6KU4jAZMI3
hhBLWb0TWQTjeL/ber7DV32SWddBZZQ8l8ZHD/4aHyTjRM8SPwil8beq0sNziBCV2atEbcVeVR/J
Sv7dOC3nB5ZuFy0xgLMQ58BZE1ouKLVpMCcj2Yxlwl6tT8uLYUKiXQtngEZI1uiVkIEcMYuxdORQ
zzmrhgQ7QW+Uw6MaMWpuUrgrq0n281PQ6XQ997VNOqQz+Xyy4s7gtEi+Agx/kVGJYO8EcL+gGJhr
QnZ4NSbb/hEUkIKwHCMsmrBBYVgCKjPmjzqGq4TKYz8UdrkmRfeIB9w/N7aXHgdP/OF2ko8AFZpd
0bUJhgA+KeqQOfm0bmL4ShsCZHHWS5VYVWTMbfctDVArGFE688H3CILE0880mI6JQEAkMhp2R6qv
ck7yd0Yn+aagl/5tptawY9JPPFfIA7MTrQZI3jTIhjZa6+ARF0755vM+rfVkdXt2HtU3TGD3QncR
f82QI90X1ZYcs/1SpX1U91juUFpBxYwaqgNmysg9NvgDFzyfiwN2z/xqcE5txT0Dp7AtzdQrjKau
+jCgJ5V3yrkNVEXlDohTjRcWwc2ALpAGP0A+1cr+dcQYcdeRZO6jr3wAb7PXEShHZX2Zg+o5dtAX
MgjsItWUxqXoCZWYDIzcOeZFGbhbE9M6JLI7W6tNQM4kBwjC2WYM3O6UAU8xRKeJjJQJv0J6DrX5
3frTr5nzHQGlT6lg2vNBLiGZu1jf94wfvZVMcPMzDAFKXkx4gDqxCzTj7DixYyQiDBTrdAJSL5K3
xMHp1fYjH4B45HgG7rEaMeAyHDKW9EoqN16yTG4Zl20kW4RtPw/2Q0qcVlQYoNNNw5ffU0LGbzzo
/lyogNxBw2JSNE2QVRXcBUZx3a7x2YfyDo0bakFnrazKRFW4/IgLJInkf90jRnhhi7aKz8BxCXxT
zY9RpORD1VW370Po+pQaUDm8rt/VZOTsOIECQiIaUId55zHms/NIQOXY4zolyCsjlteYeXxL232a
eN/Zm8KjsDs9uTvSUuSGUV6y6wK0oo7TYXFRzPdPlAvqUwb3NzVlErGFoqQunmxCZjG9AqJUxeMn
I8bi6tO7nMywyP+oSbAO58o5WDoc3zNgxihopxrlgaCnXrvTUEWJb8Z/zJTxiCfmgDljYUMRz8x4
Z+hAoF2RVnqhJ+bmzBNt0rrfk07tzLmFCP8etGlPT+ydGRARKBJKXm/kAElYYq/RJLMcE3sAIB1a
4mQG2nqFLhP/LhQWRgQnQblDeCZzDiYrPmS9KY4JL7XJEjYLN4ljSORjk5IrLEsa8SYrxF2Jr/zN
cUnxhFdBwAhapXDN7DT5RnpnanAKoV/zJlTlBT+Q8cqsPdvLVM0ngiyXXWXO+sMFVH9iTV+R2Eb5
QO5KRVKFGhAJ9KaZg2RLneU1z+b595B5JY8pIrprB4rxGpJvwsZKerhgy3jAaWr72yzO1Vsw1+Zj
nFbVMcXTsJshSbHVQ8AK8aHzkg/ptm5UlmZBqIExveqxdPe6kvrZCPFq9LZHIpGqgzPkGutEFqX/
YUBtWrdwBD8cNz4QrCNWXp88dkHm4fZOjGXTGkJ7fM5cON/Ir1A1LegnoX1KkvqcBQly17GORuXO
bJ7QOb+ls2DSD+IfpTYZsqtcxOVjHPrpLiRTZmVr5kB2OSMD743lgL8yX1dBxcjR0zpf1V2P4y8e
vWSzGHZmXbgiuN+GxNczBxgGuFJhbi/QJyPJrch6cSpcyx7w+gHS7dovwltGOs6GtQV4X5KVdrYG
sw1XMv2maCHZw2NqTaRdwfR5mOZqV4qxOzStVp88tMuV4QzVppiqXd7xTRi5MY1krr0RDN7A7jnJ
pZ46+3FUpp5utWNP7TPe37Z4Mbwx8aOeNWZMJ0KDt0Zll40ArbspXru2huPhD5jUURprYydIuruW
7pi8Tgxu/yxoYnYstkFsLaOb7IbOVM/NbFufQx26r8M0EpY5dza85CUBDp1J7CwJE6TvafSyo+G5
zq117T5Z+a2UvB1MmK8mBervzkHCmIw1q9hSTu117izOigXnIQWbsjjVRN8mxAbkHNmdcgb8SaV5
y2Pf/SE80+teA3xT/WNct66zYYZpVxtL4UFNSthPKCgzax2IBDtPWCYA6FCfzvLQWHwII7YiJJAM
QnWbvpw9AkFznl53zgIrqrkPT7WVhR58qrYBvOWn6M0NRHGt0fjkDTQ+8QC1bpJDWw/OZ7GM6a6y
wuatCe3hBgKqJDGraa+dcJ+lAbgN20DUqCA49XOCspHPISQYz7xlxJz/TKowO3hSyLds0caH1dQi
2Hjh7H6SuTQddT/OW9iw9ZO9ON5zgjWCDJlkivcus/52bvIDFXX6gBtt3LdqACPBS3jTfqJBORje
xU2bbotsbmeBSXmSfjYfe9ZwEa6c7Fq5hnsOe2f4S7tGegyhUCj4gxYVgl8Avaq7hTWE8ONzkgY/
hyT9BhU4PSOkihmUtl3JaW2T2aM8Hf4hbsJfp0Mpt67tkW0/2ulbF4TD+5jx5BQskt6zIkmiePKc
cwXc9ijJcnpGO/YncVNzbZObcm0pZy/Y4FqqK9n8drHrcoOO9r5Sufe6oPg4LolpbkgDGd9yy8lW
ijCNRxWL7FIvnbOZu1ZVm9Jq+ocpdkd2zWQFeEmZPmsGAJHTSJgTEAaay0BP+tXOtvucotrezguM
NBXU3ZNGbXFAdPQ+mJNkbRDYpF+xYRo2Uw31D9GQvc2HfsEwzSjXYh+wzguHGoiArw9NxhM6XKYY
hZeHH5Kl+c8YhdQOqJk6cK3qKy5B0l6oxR6rPiEAVsX9eQBj8NJT5bFPLMiaWWB2HuEtk9Sk+Mhr
xXnvN/XwU8qu2sRLL28z+AGxgs3Ktr9C1oI4JsOuMPN0SW6ViIgdiOZMbqEPw7xHY4ouCvUwo8/s
XJEW8FYEQh1JSM/ejJrPlUq9kk6QuE0EP3lUpo518WGaHGOfzCtDD8XrNDf2OTXK6o87TrgB4bDZ
oDCz/tEsufPIf4+d7yDJ6bCGruxOZqKwLy6AH/cGHzREDYUmgbfvc0C+bd4n7HPc5r2fmjak75qs
l5wd36vf2eqWke46rfy/oIBT2FYfWPPj29ibAAPDhPPlpKDHXhZOv7flL6QgoeLgBeFDu902y+GF
Jv1IfyUG6Xxpr/LeartcEF749W0arQY5jOm/1x5DGlH29UNCpQZvj7ODHyjDZVsBz5Tad6+hwelt
eR1kRaHVU8do9rzkur8N5aBP1p2eqOwg3qhaFvt5cGAr3imL6JWsVZ3I5qPzTWbSeWlcRZEzXC7N
GPvDuueIr9cAjqvvGtvN9AhajUG94eF1ENCK5tUwJtYbNAYoj00+yT/adIMtGMCZhRUe9FW8jAn7
QATd7zk9ZJTA9dorXwK65JdPqAn+IknaqXJLRBq6e5hNnX7aobRe/aziAySthZ/BUPV1rgN2xEaS
VG9u2f5Rf3EqW3+ubgsssj81NSgRQgbHEJqUKC1btk3awJ4C7zJPGGxZTMIHf4Z2Kuao52pej31P
mNcdmEkx9oZAtj4SU/BixqO9SwZpnJIMwGaYgNoENiciwwP9P7DDS4fg2kvlPsGMKB/MxMVW7rh3
cucU5wfRV9VpRKt+IGqMjwP0XnFcym4gfiF17tdUiUkBuEDoFyidQsWTZiynaZiDs0zmNGLo0e2s
MDa/Uj4+Xw12zAV3SV3y9UV78lJTnDUd1NYrnP6azf5lXlJrx92Moi42WFf2FnT7wWDBUhghlDqG
Uk/CNp/uM6FPk5wnkBnNaDlRblTZE5XdPaiX8+rMPpqw71GJFIwwZhtMjDSe2I4Wl/nb0kfOlBZv
5PEU3iocO++Z0qBwCfDO4yeWMSwcR1/te5JQ1xkCrAhxtrkK4pnnsohDiGH4sbc9SmPAPEPdndyO
WeLaHez4nUWSvVVdoz6z2THPEDoxSZAzxwHuavHsyKE9t3y3dU3S2iUlqfRsNgb8abxr/mlAf7Z3
anJk2NqqE9Tm5iRdGeCdw/pSjWzMI7viOUW92T8xXFP9RjiKkibwoby12pjH1eI22SZx518h2qgI
vKyzBn9ifhsoOQ8aSe6Lx8m08vwBf3XbLCgIlyDfJtmQbDthLizImL6lto+g3MrK4DzlffO8GBNC
jKE1+U+GU+09krqQgxb+sRFN9oPcA05B1hct80YPNDLDK2vFQw3/QZj2m5eyE0Elqqm58MY5isus
r8HTEoxHu2eRW2MbP4JeYxGesbARAcleyWzSaZNNxfTsxzaGmTkwDn3hNUejJh0XD2v705QUIEZS
y0iVmeQwVnvadaRrZfuEFKHfdjnQWwv15bziXwVREMALi8kft07BdRpVadbMBATH/cZ10JXktWbc
4AVzvGMT2FlcPKRusWtWb3BerbdgJJ8JGWHGgsft8MxrL5Mbv4CWCTNDNq85wG5zK4Wa8CegsK22
BmE29UkTY8JItqnxwpQMP1Bm5InxTry9OgYmAFiUoAwH1mma6Svmh04iy/XkS+ovYPGLEMvUCjOA
GKOslcOfzC8XdBWj9zO3F+8aTGFtbX084u0my3CCbQXZUkxC2jQk1KVAHbFGQe1cFfqgHF+ZJA0s
D8LmfXCd7Esb5rwAuh5N9zDdeWvHhVH/q3SX6qN1SFM2sqp9msAbEEUqWvUMwA5Xh42E8dKMDOIc
7SJRzvtPYREFHQcqh0Qehj+N2km3zTxhJXd856gCu3zL1J3bUWGe2w5eamOktAoGKf2BV2FBe9tM
5A8B0EOaH9Yvfa+niPS25ZXxpTgGre1fHDbSXZSN5JQl4ChZK8IA+2Zq4Ak2aTaiW7NjdWBMk+GC
uh+7PTPkdll3ST19yMDjgmCEOp/70vU3Q/os2eQNUVJ54WuOAP0BDRHaEOQBkQ2x+EzG/Dztsb81
2Eww0n9hkFf1Op2nARcbkQN6xdRZPCNcZnUPO6YII4LRAJL2DpPaSNdBlUcOkKct14h9Kdywf3Zm
e3lncD4+G0jrAddYWF0AVe0Q5zg/HPx+T3AI3I0MjNHc1qSfEWcnsidocjN9+Rh4P/smTxHve8Wp
J8P70hl23jKCtFL31AYTWxfLuqeQpwGWu1lSZa1739AfM2JAxv8U19tUTBlwUTk9TSEmVfageYjr
khfiuc66xYDFYiffsZUCR5GuZb0k8Z1MIpEYvWQSsSxBVjTQobcIrlMl1mCJaKSm0hGPHfvVK6Qk
82qPTvU0G6LKoCDK9nMBf/3oLVlLL98G3tlUBphENBFZtZd9a/3w0tA+oc4GMlWipE5XamD+iR0M
fkc2G/EvmZfLrSEL3N1gCaD31GZ7J9wuhAJ56CcqNJO6eOfTpvW6KiQ3AVPP6UkRsv5rRFbCAcdD
hMKsePd9xz44Vr+cCZLzj0hwiZ5qS3XibOcCUqH5rdyhS6Ow5uYbG5jKniGbZ4hz/nFC0f/gjr0+
LE46/FGDi1iYj227GpEewWPvp+m3l8Vl1BXoQ9yxyNa911d74qv8o+DcjrRfFy8u0pmjYYN9X/J5
+K6ylmD7BcTmrinMap+5/lRFMJbam9VAlN8kg19faZGYfmNj/pFrJ3gGYlKA9PD9F/Lk+RuCja1K
dPsBKh2THl411h3SvytPcnPcDLyGL6B8+l/cQGWwusfJvhqEGsXrquxsualVesHaqK7gNQTbA86W
auWy+iZHtO8vpeMXp8bii8iZv9slPP/iTRXTBHMuh58LY7X7haztczCQ2Bn7dCXEWIzFFcpFjmou
zOwGvX29PE85KzbMEKxNTOk9s9yqDoVppVdli2Zt55NYEwxKq+HW3abrrHS1pGP8VOrZO/JlCWk7
rfE1wQ5e868faawRXcgaVGW4BI8DepfLPJXfrSWiMh+QLqc1bPEsnM8e1rEXOTrjrqt9zNdp+DJD
8t3kXnHX1jO6PPTKBIzjjBPQFDxCr87I7xV6Pg/PfOcGI1zMsECqcatpX9nQDEw4DIxCh56y/aef
1t4lNk0LAbYzdVeXgp5OoBB4yQPCRVYaecxRaoECCSqggpw5dQ9sV38hBLHzVdMr8ZQmtn8evdp9
nhhn/KzQVolVDhW6p91lfZMOfJpGM9lzquItllUA/IqZAk4V+09DaCe5emYL/8SqFZmpjN3xMeRi
nEviae3kNBh+9e4kXFlkl1KypEw4c8seQZCybcFSbjVv7FP7AzK2GqNiX++ntAsQopnOJkC6Ue9M
R7jcpsnE0qrvy5+eE6szu8Nhg1ov+AMqiVRsI8dIy3X/aUJE6fAOIG5a56aGoxILClk/Y2/lLAMd
jG2l40kB8ye4Go1iwDaHcW8jbo1wKxdTZG8cYgMAk8uMRKKWQ+DTT4JDLvTbBgWVSl9Exc4HVuD4
Kv3J/a7HefqSlK2v7TQM3crDcc/5H99ZGGGGSmRBkvKzzdlf3hGHIFo58+jwSno8XCwcxnoIUIkS
DONw0eR9eh4N0/wqHGLL/o29M9uRHEmX86voBTjg5k4SEHQRC2PLyMglcr0hKrOyuG/OnU9/PlbP
kaprGj06uhB0oQamMejq7MiIIOnuv5l9th2qgLiumli4psKThwDG8ok3RUksazDVxBX115MgHwcY
DICcajBMbarQpDE4CbLppXZTE90m8nzTrFjzizqCYyL1MliXgakFOLLi+dzFwUJLH8z06HiyOYZj
k1ukGybnE9p8zCxPR/Ej0VayWplxhbXG8CaqIfM4UisGbaQJkohVjK4tmVA+IzurvvHGkZehNiqE
7EKZ1jrHQPyU9QodxSxSKkacsVy1gaYdGLLnZE5Vs/yDgZuO3FdsPqHZWhnoIxO+YF4I8R3na3Fb
oaDes3ixd8lYLlcBAf7m0Oo5FjlggOMr82YKteiBvYbL6Sp3QVJ2oTe2axt9cDvEOl66ONPPrteb
31ObPGDLuM/XgpS+AxsXfuALXARrPL45zizdOJLxG2/BDAHJNpYheR6VhODhZdEpb3Bn9TSwJcO9
rTEZhVHH6bp57diEH6egyA7gGLRtS9fMBgti/2VUIjl3bCduaZjj+TVTR+g4enGj9dh2gp7/B8AX
qgGdGvqrDp+H+t4oPUNiMLdlqxNxIo4Cogfu2WvUVfO96vvipkzJ7zSRoW1tM8gPmeHon1nVg9uu
XHWTdyXZgblO1LqKh3hDycz8CS842gMrcg7Uf0C87qh6GMouFP8fzPK/B2bRDd3BMv+L6+VfuCzn
eC6BKP9qDIKv8s8f+8Mb5Fn/sOnyEuI/cbh/EFm8xX5vupbtOA78F31htfzTGGTa/IR0df6y4Pk4
AofSP037pvEP4C5SQPZwDX72v0ZkMXiNX4EsrrBtF5ORNKVjGIJf/M/+nJHO9YKjUb8vertcElHV
bhB1vlOJcWvBmD3EQf+WlMZIj0b3BZmcsSQR49UvH9lfGIUoL/uL38M0CQ84DvNFubBwfvUJIcJp
WGeCfi+xOpLAwwZipT4kANndRNHJrvc1a2Ye33bxwJ5RsOAil5+TaGwxnFrXDlBnY+7n5nmmfFYv
ThacROb+rQCu6G4G6bAxAS41cJ5ElLmfOkrWAwQ3URFt1LsnLJI3ABi3Y1Bsk7y5G9ltD2lwNK0K
Q770Kcd9oYP3AmQ/XyUivTLgUtuGxi3bSTnIAp7fCNnjayVojyuWF9p0wFlsdC2maNWVCkkfAv4+
Ca27gbamlW2DTeGDbSyL54AESB6Ws+6D6UU7lDd9kRs+Awuaxs6lBsuDOHjvvmjp/BAmyWPNg74J
xz1h4GMRFWt8nyvdqR/Hcen5WjAZY3rLiY1CkBCCF7YqNHERv9Bpga4zH4GyfJVUibr6u9boT07I
y7fOWQn1IANjZ7bllsH9ZjCBo4LnRfHwzPXUpVuqyT/KrP8e17TldLNlbGgW+WF6M8KRMCN67618
D6C03hBLO7XGcNbY7dGuGbEWYOTipPZIl/ZB6Q+U0q+lbsnNbA+P9RjeQdDyLYJTfFqc2IgfbmO5
aeVwpJL6KacOAbkV5GTzWBfjjz53OZnqb3NDZVSle8QDq9dwiP1JxCeztoSfk6glnU0VsPfE5YUE
5dMrYOMdY5M9tj2Ajf4WYeIViOoJdfsB4Y0Zu9M9GVa5MQzKbOmx02loAUzIOIfJ6ciU0GiFtVW0
3qcUs7AuvSdwaEwMtCt9zF4dLs06kk+ciHSappgy1pwdQYpsygb7i6lTNZe0n3pL+XugB5S3LfJA
sXUM0BR99JLkxtXOX9DT5kuSDukLZvtTk9r3AZnsnTtBWkDkGw4M/DdOT6lX4W1kXexhcr7KLvhK
tZKuqkslnhg/ziuDguIVm4d7k0LklTbMhypMXmyjGPYdzal9Et3NgXNDcm7DWdln03mxp3vlVmdH
93DdEbss7Yn2mmWO0lG4ygH9rsX8vmWMuLfwLjJZHmk9LkS6d6M7Jng3zPTWygNma2FCkyTwXO8u
jul5JTHxUs0AkVP5gYdsmwAVAs1tqHONxsudk2brWCIojC1Z2PhDZK5fp3dQmvC4GfegHmkvs31A
/8+6m+/RLdi+4F2aZwgaNBrbWrbj0nCIuJs55RQdqVwD13AAZrPsjCMzrEthzk8x/vZN3TlvsZSo
zbHYclxdT5Pld/l4ccxmZy5OvNl1TsiU27COPmVvQxJPltvJvJDJICXYiguY2MOYeu/Meg5xJ76X
qXFI6vl+0m22/WbJSDQrYOboww3lHjSlOaNLaW7yEEYgCeeAhjPLibfkUJWEetLofPKcgUnSH9wq
PgN4HzYysIZ1he+HwiPoUFLcUVNxn2cJyN2iuqJtIkIH9joWeKx50nyUwtvYk3zOOWBI/gF+8pTY
ukg3RGdPZaSeHJqAg6J96zAb7XGdROvKcZ/nYXp0BpDTo0ektD2VIVWDubrq0KWxur21mXg3W9Pv
yuBGn7q3ekpf2GTmu7bifZBvnbRyq9BnZ6JTD5OtPQBCOoy5QWuMg+DNSXjdpZTA1OzZVpGjkr3j
DgdS8XvTtDifVz+sNN8VXfLNDXEYDlNwKGCOcmbgzi/YwmMfdL9w0j6PTClISMEYR6urLa9aA+Rp
toQVCNMYBTwe7xvwp3FVNx7XX6vvMubLHPBojSmtm5Fyqi132G07GS+1V3xMjlNvbRiakGdQQUgP
4CggxdYOb70X3BWae9UG90bv29uZcMmqSZxp16j0bJZLIN7+qkONU64Ks40RNzczH6sWBOe0Hxg3
kqu0GY4i2tLXpoH3WkcqFBgtg62lgwMfOVEaHZ3NtnanKspbJqgjWyPRzrZOdTMs3e+qrCj7zR70
NiN7qoX3TdbtaofrQYGadNKtks65o3KsnO3j0AzQVY8y4sTmuPG+xAurT8FRirfOSp+CvNnGrdox
VVg5Q7GuSx5CHCn8Ngp2lZKbqnyPmuI295wXmiYPI7OrNrNPzAX2Q1/5gVVsDK/P1myeDzqlYvRM
ACB1HuuADEZr76f4lmjey5RD66XgwuNKdzPjlc6Dizn0+6X0ZeV4u7gN2Io3wX5eWpTGXl1lgBU7
7VAiCGodpXpxITQLwmpyyXR45n7IuhvaV8bZ2mDhpSi8UPfabJ2nkSdXhTTjJdzycBnuAFl8VdMp
ZP/MoesSYZCj4UoX0k+SeaV060eLjL21uoSttHFi/7buIUrBnf4ehfbFQuZmar2P0/CqTwPeGuZF
QnmvbjJuku5HKxBuJx6deYH/VRH4HbkJSzrixDNR6qOTvfdu+obJ9J044KZJk5tOBwCTyLVVCh4v
QXQWPLRmo79X9Nzjm7rtvGQ9VcxMRf6eh1q2mTT7g5Prbd+Z+3Kczk4Y5xvqbtZEfve5hWPJ6L6B
337F6rPNxLxPjeQTVe6DYB49Kmf8y6tiNPGblZwBo+rcyGadZ0azTtzVED+a+dHioRANG5vHMhWg
Ea3idtttW/j0g3WeE/eA2eCie/FXT7ebleE4tAPWz7JFgAJ/hQwUpfq5DOlGyrz6JrTTe1VIWiDl
Q4cxOQp7JoPtW3QushtqSRKboWet+VWT3FZJszdA4K2sPn52YkcAxzTpI+RtJXfOvCk6Z5fBJCvz
5rvtjacoTvdjzQeozBty65hPCAR5dbwl3HOycUhLRz6rUX14dRdsWxtzedZHz6LWmrVIW5qvk/wJ
irB9P8xEpmXUuCtD19nYlIyayh7NTFPHFKRpCq1rVdjijv72tzCZPs2ge2l6CnAnyiAdWz2rtNqX
Q/KcEDgSYlhLs9+F5CLlfO1bk9lIvkoDQkoif6hhBKyDZjcZYuv02toMz4BoPQS68cbzuNSDEsrD
jyzKabe9b2vvOOTeXdDGl6Q5avG0kQSrxgeqivyy8SNZXOqgxONoKnx5UcT6EW+JmTx0LEWbif63
ZNjN3lPomC/hoD/Enc7zwAVSfU1jCoYssadEl9pb169UdzOCWukNBndcQM2acrd3jdnqWBs4cDqx
mpKPYWgBmVFXUalwpdXjcfQwbw+1/OEVzxH35lSGx4EhV6JAwHocJKraBysWGxPtO+4VL4zv2u23
GB6QrnsdaCrsLy77ByZML4xNlpP4cw2JfK61Q2eePOY/ccIjy2ZLOqI71Ll8NPJrL7Zo+DbMeFL1
sNYcSaQnz59C3YFrD7LrSBXCTeewIuOYmYHQFDRguDL/1ETkbYtwLg8Q4xV7SOW1r/gNyue6xR02
x1jriC9OP4q2de+8RHfPKrX67/1QAnhKPX0ngCOEq1kGPa4z5oSuGLelEPqnLLLo3rVyedLrUIQr
HvY5teJV+lxCAYTvlYPS7i0+SSpA3nN2w3tYzgEuPk0Y25Zut2PiuSgxkZ6SgaQ9nrLhmDqiKdw7
yta/eEn308nm+UODwbLPIeDvAmhqj1QIWb7hhO3FjSZ11IskP+FFVI+c99gfszEbV70qmvs6x1br
8huvNa9mbUmi4aAbTXUqezs8dBrGCkeBH6TWHY7wZLiHsEY2wOScebsOD9qZqEi4Za2p1qPwGGR6
VXNmLh4cM9U1R69zwDml4BOeR+XxuYPIPrc2idoCPaV0sV2twkknJO22zrOOjP5ZIbyfklYCLYQx
fbHHuXwbrdm7pcoL7Extcf+4TZh/4D/rMKdZAmm+j5ILNjxxFV4SPXiWPt03g1fdGoMSD72djBdV
etFpsp97Rl6N26udN4PsCEoDkde2JySZeDLfBOqJP+K62djzmDF7cbpbPPbOzcSC+R7RGrwnMuES
7RzHDxSP4o5ZS3tHoq25UFuWHHLys5whca54IQQ1Bsedb0xFuMMG1a6kVWFj6mfKKALTWJd2ku+8
KISQtRywi3TC7QP4mHFcNhgL11+8WJh81jTV5u9wf8zbClENq5FjgKSYJ54pNBbkWYzb7H2MaAuJ
I2bfbTZdwESxklb51D82XJmTgeQ55Tuqm4tNV8+fIkto4B6aTmyASV8DTT65xXyRdYrRKdvbIj9g
nFnbZLF57MdYIMZTTRaFtltJV6xYQ1Ih/KDhUpxYf3XnddDAwADgXneG/R2g2toyk282/uWpRKwM
U78lS1+wc2NhsLHOrSpazG/d0NYJj6iX0SyvZmEfYt29zexuA0EamoXFb9ztemjvuno2jNbbVlrz
Os+0LE5hzI4yl9fe7p8CzbhUE0RLjSdRHKU306gdQne6uHHYYzPD9Cg0jPl50aebdDYvkwvYy4Sr
SJB969XRuY6Hxi8TNuUNHErUbr9XrV804JCrbYM7hjxhWzaLgZ4UjeuHWcGovHn6+2GHtSAXfhm6
uJAT6EbSAVIxAHcNYqF/HnZIcglJCxxxL7MXjvnxaR479LahMnFVZNNRl0V9O5bhfM/zKXoYYimu
BhrpRQW1JKkhi/7VTfv8w/l5q6TLXTMt949Y7qRouaeIMQV+vdxnxs87brn3SvT+R4Q3BihA/c/d
co+6y906LfctZUXNc/DzZh5DqzlCSdCOYcC9Pi13vbvc/zRi0hiRzzV4pMbbDR3dsBQqBO4BYyp9
b4YK7kxLwDRbni0gzICUL88bsGfWSm+DEZveYF1hCvBcMrCWr8Ioah/pLW0e9bLJT64pFURI1V4Y
q8L7XZ50JjoAZCeeftR8zh/kdN1P9H3jy1yekvTIxYeoKulGqKMtjcWLrL08V7U4pMz058MW1sCw
n1I3ei8q9hmVPnkPNmT3bWSZ6XNvRRwYhoHHtx4N8lRPA5BQxPPPwNPGbV57a6tKWOR/LgL4N4zd
sKwMmOL775DR3HO5rBuUfU8/9GUtUcuqwjynfDaWlUb7uejwbZaHEBlzi76Zf7rL6tQs61TgZNGB
WftNuaxh0bKaGSxrFKEsLg5gPd8ZEp5c8M1qVZtG8zyg4r26U4diTquF+TIJh6EWJZ/T2+CNKPyT
5SZ+FTKASrk2t50kAUIFSr8lxGqukEIx6mdEY6MIimFlRvDYufKsrEaWt7U9paaQ6m3lBN9sytnL
fQmUkcNN2Rp+I3RHbeL25ytCmM3XDl2aDus0chEXU0FBJWJBdlcWifyGMm+e8oSHBPlpl/OqpByQ
h1m7YKscaacfll7d91bmBZtKN0XtRwGUYMVpYd3VWsrAK5fIkC2RXl1U47av64eI0+Z+0Ow3VTDK
6VCKdvHMvnLm8p0ydBpKJ7aeFlyTpL5mJE222kDUeUbRvB30ot26HNi/OMS8aC6OIwuLzbapsPth
3V73mmlt9bxPecIyp4/rMHtwB0l7ZDymWxb6ZhPoaXx1dOb7kjqlYyTllZrhq1vHEXkFL90XDtts
kBvHEAl5W/TRGPly7Nn0tFm66S35DsKAWQle32nS0jXd0hG74hQumzHdKPYf0Fv51wcujHXi9K+i
M8pjIXTLL+SIK0mV5q4mf7wxCEIDYrJ3blR266wYKE/WSfQxTGWsoqtv9CTdsy8kKSYhI7H7eKrK
cXHkFY+DVnEcc7NoZ3dd765CzKE3kUNDYpZiYWunCZaBZhg7i5yoT/5/Xrl2D4zb5F4jUrlwt9B4
tXByVghO7wN2SJALafwaz8U7pa3sIERFB73jtjtovmoXzFnHZRUDbsnzcY2hj/7eSpLnRNdY61h5
121CM2SEbMPWooJNZt0JLD6bkMYmDsULytUNyueStPvWmzi10u5KANPrr/ycOISWwL9lmZb91Liy
OGHugbRcefq+Ytk9l4Hz3QDjcE1NDO3uyAMFU+V3TjE/EkteI8IdZOdikEpaaN9WJdnPUvLZZV70
vfHYU2RwmFZp3aDczwVepin+wLvxOmRvyMHn1tW5Isx4TdHB3WyUIIXT4ods5gdAFHQtulRZa1mb
WSvNxSbBoSO8bZTZbyyUfU4iHDygZ7BYlbZ6JHSqP5Eybji9Gp9jiaaKn+rJUdneUDy4NMsdOBlX
KJahEd2EjnXC/48rwuL+GhWLBMyOeMNAmnCToLUFc0CNk6IvD5GpIRrRGvIK64NDZrg4J8e05+ca
B0dM0vYz7tk030CZj9ZOBzXQFgy96GGuvtEKbR1CTUJ1HHBRE+dpLsia7V3fBMUdlJLxI+D5czIW
KjJ0j/Yd+KhzUy+7LBp3svvh585r2YORNQTRPpTaJvi5O+OJaz+5y5ZNLZu3jk/858L7f40vRefD
ZwmCGFhi+z92X+Xtt/yr+e9/ok79Uen4P/+t/0f6HiXSzi97lH/RsF6+mva/rb6oF8h+1bGsP37u
nyKW/g9dcnawdQd4/6+Fj674B4gL5CrhGZbO3+E//aeOtZQOoPh7CDueiUDOH/0vHUvYJOZBVjmc
Phz7vxRwR5L7ZUfl2BKjmmdKj72F4aCJoZf9Kh85NnjbzJXuTkVd6td64q36UHIDxLBz2mI6/PLx
/IVeZSxy1K+xdl7PNgwT6Y5PhN6E33ZwiTkGALk8LP6UzO5CM02+kLVqztIF2s+EdTsPZtQl0h96
QzanJ0WURKLDNB1kayRxC4NO4Pabf/N7/SbnLZ+DbdLgwGDQpJnT+S1uvxg1beqf3B1zm/e24Pcw
BnIm0Hj3ZmsfPfgiuxLfvE8l77iJprNQDAj+/pdYcF+/fzaWge9WNyWogd8j/7grZTAmnburCJns
CCwFR9a68vr3r/IX37jNW8UPZXkOlITlz3/pVXH4kPEsJO6OedpepMOLS0R/P8QZ4E0GoP/mg/2L
9yQsrMJ848K0uZD+/GrKVIY+Jq6381jd/dEds1XS0ej89+/pzwC1n1exxx1B3YYE1UCR4Z9fxQxS
ox5E4OxEBCW7TvHuFln30Ofx59+/0F98eJ4Bl8HxeD8QK357IaHNfKLL5RvEiFS5lvzgBEzYzCru
rCS9/T94MRRdumBtwanntxcbO7sEgG47u9KySePS0bOKelwY+Qx3YEzk/u9fzly+i9+uP1ZGwAE2
TwSwTb99VzG8u1k5obOjmzldqb70bgYn0B8yI5IgfaN0U+H795ntoxeXSelTRRx8YDovVkNBLIoU
g9pZRc7KnCKFsvMEjCEtN9sIgW2sNau82rhRQYSftj5sHDkWlZWqZvrHSoqa1lU7E/YRCYVleiLv
FcSv+79/j7/L9st97glPmp6p8yz+l+txKGJzEFPs7MIiMg8JFKXD1At6lXvxpE0F7d9BcyhU+MOx
ogpDSWpegbS7/+aj/qvr1ePJbXuYUQRRyD9fryqhxw0eu7fLsg6XsE1IGlwRexl88n//hv/1lTxa
dbFdupbL4fn37zSqluZIJmU7J4jz9djBg+fw8d5EhPL+/pXoGPjXu2MpDabDmKyP5fzx5788Wurc
sDQ0QGdnYzDapr0WL0zU8Q6r3/ggNS4Es26vmPLybdK1pHbY+tVrPFgVbRklI2uvqegaBcdIuKkT
8rHDy/dNYGzdk6Bps7VVd9Oj17T2DVbm8pRGdBEUKgJZXxkA5PyML5/koMGuOHe6g+5N7r6KbEkI
hRyjVjf1Rqna3FooEugQnZ4Z2DNKEeyG1qzXYW4E5y5KxKUQBsI1zeRyG/ajibHUjS+BniffSMfm
B5uw7lbPvHk/eUIjYFc7h7RundfYmu3LYPLGEdebtRaQ4hSektjSzeBsJBO40NbaZkHFCEnEak30
l1MBkfGrbarq1eyKCg1P51gR1ZShR1ONhbRc2iCKfvILUNX7WG+TR02v6our5+h7IxFQONoj6bdx
sOrXCjbkmaB/8Bx5c7zr89r9pE8Ci1mgW2+plrwUmcn8C71bMkxUFzj21q2TRxsiCQjTWo6nxbAI
nvWh+QCipmxWViTdk25bzWWmdQ7DQy13Ta3SHW+nWrs9pj4KUBmjzWWXHfsyBmvNU2q68TglAo1I
yR4RbGZKQgyljndZPfRfbJn4TJirYFTBuFcyJCSpH9B9LCyzI7FoNy8G0IRnhkE0rnIq4hgBKdNj
2MU4dwkdtaAJchuIFLHioQYqoqSw2TTLfFvWOi1pMQhswqQzSz+xF9ImqySzy26T9uh7Zugpv3D5
vs2m5+PrtYbqVmDEm5DvlodQb8RbuxLiLarM6QQl1H4DpIGM6TJ1vvQ0A4iV21NVhv1UpzaQhwdQ
QmVPivNOPnjPJGfa7NmyoML0up581mI5CjmB4Ir3QC48ZkQIYF3gwIDHqIJj3qg1NALnx8zxgp7l
LiYjobdWkOxcs0KBS9JuujHTvD7OspXlJs6GiVuIisaIrOLOnNngABg08w+GaL2HNYZEPwiu+qC8
3AFUnHb7Hjb+Wc4aPvDEDj3GiLhY13qKS8Atgtu0G8M9mQc67PEg8/tGAwlYjpAQftY5bAcPVmk8
35iD8rveqI/E3Zem+yJ/ZEaGdhpP/ghz4Grq3gjCrGr9ht+N2UMZ+l7dentX6Dnf75hjnRi5PjLy
adhQsk76TkmGrLcwEFhT/UWgut7GnYrZn9b1uxd4ZGH60KoPeB84w2mJSYt130FInUk3aWBgNnWW
8ukTRMcsXRA8HyeSYAVyb8JpDORJnH9Db05ukwJRwbVU8D21ZrGIsQMdTAlN4Blf8WPgWPoe+ma2
HSYKx7WRVZitqPrsyd/dm14z7b1Bw/DVdO62BuPsg6AFkEHp89izQRxnwz4F5gBn1MH0oLoET0V1
pIXYJQvo1hSdzgOGtyZ0qSUKnsjPkzVQBk6pdDJP4F+8b+QrrCdzFu2WLCpiCDzWbklDB3tTF+U+
ytt4OwriGczmw2OcQnmVFZtjkhLRKawYdrqKSEypE1MRBPSGDlKlCubijN5KgXZlD/OmpHqArh94
nDA38dTbXUKOlIrcFaUQt43FdLBPnPmRg2lzruY0/hgB32EoMhO4yUa8q+t0vGv6cgAKjyeowi69
6hCrESRsuFQK4FoxOZAzvOS1kx709YYxhlcEDRVXd0GWP5Doz/BD5/IwILSvgjTZhDOmnaxzNb+0
5PBFgTL6YFphtOde04xXQpbWGevCeQgiQuYV7Ltx0CfsRJNxk7UWNhLpRpmvMgexPCsHv7RxNIBt
4UABRGeFb7t/gBVRxL6ynWaVtVh9k0L7MUqGgoMjrmyS5l1XR3jdSm5lCTLAMKTYMsQ0znbR3lex
urESAieOoREx4Am+C4Lim1FCbgBBNFoq5QEUlvg26EBrnGYDxBPUHGL+2uoG67YeuuCh0IN8S/ca
+APXPtslkVakPMgAlhz9Yejq98BDE3WYhqzlNN9JUbs+BiBmFXIc5GvhEO0ysnDyie8y+nN1cpVr
G3Qq2yqMLk/sy8Z7s4itPQX1wU7FA9WePGxucVpVi8/Je4x4v2+0m/Rqk46Z4tOQOUJ1g2+WwG7W
lc4GfEqgI2go0I2y5BNZUYPs3GWiQFmAYKhe+kg1H6ZGUBXOkae6AxLw6PqyQOtvm/kHAFXgWPGS
Gna6b8QjywP/OfpF3LHxE5vuLUN4NVJM9sCzf6Pz8LnlJqx3cwLyxMTZ9oYZtD7iXySD0jFYM6aF
h5KFkR/HwDgM6XIbD+pE0zVupAxFy6STOvS0JysbgLaxyN9J4sN+Q8o3JaZowAUJ5MCVi3tyPTt2
/WhK/dGJm3rPHEvDATPr+xYbwnGcGnuf11136Ojq5infFcCV6JTc9Uxrd2GZ0QsFBnIbqIZBZAVE
ZWpz866rsnhT6FHxVrp2s61tQQHTlJwKxdNibLzyBwsSji7SHPtZ6v0TtHpAZ/Eohi+Vzcz1Sr3I
N4lqAO7OaKpZJiZf09ySvvMyPwxx8wN+bXkch8B4tAyv9hEu7mLVp8dpFnSQehZuccPQ+uc+TSHa
zqnaRnw3l5q4wcERdeBrhaceZpHRL5gH3xVOgFtwuqGfxQA3kF1wB6VJh4+g18fdkADS6Rghbttc
v69nfDmNFZk+dZmjPwfCJsFih8UxQbGmJsbUfcPq2hVEktkvxzg94cci+dTmWFLXRCJRpmk7/TRH
MzsFhZmiLLV8Ip5Msl1QeMbBRiqkQ1meUrt7ndRYnsdyvB2zsvlOhU5Hm7RVbUIDACpnw9vOKhuw
2U3zzWqkgEZS9wfk311aas8w4sBNgfgNt/BiimMZ5Mk2qrA7hp3E5dCM7a3nDEQwWAT3YxUeiylX
T3aFsFVAh9rUXq++18Uws3KzKSAVUMZrnOPDpjJ5NqcMPm+dqgjvjZ7OjEZH03RzU0tXlGyVsFK7
/o60x0s1Ub1Walh0TfxAOUYZGpyg4LULgrYbN6ok17Xqy3kHRABiiolzijjS2ZxReEGGxvds7IWC
eBZsphmW26qwXBM6U/HcJFrsV06x7VP9s5DxvhuM9kDMkkgagTJCsQ7cGybgrH2jvW9jAcBIK4g0
Q6gqheNPktaEVVVp7tErsYeYwIX3VnbtRy3H+5fCGxrEpqiRZtnKM9wPAQHJKAl2EbFLxt74JlUu
PttaBK9Ozpy6ollKHyYJ+mLeEyN/mlo8JE2Pf1Prnt3EXNic9Gv06s1rUV6tSPt04/LZtNIzXc2P
Yc8KFefGhbDpV5h+KRDUOxgdHQW/4bWVXbSC/HmshHMTC+OsmTNDfadrILBqN4orCNSKl+6CwSIJ
NDqJH0KrYpWCm1L1O0vW+ctsfWcUl/muWSMuD0mOulARxxaTxhfYxNeujBueYsWTmt1nWSf8r/6W
VsH7WIqbyMjebFO0p4Y0/7rLFOnEPHqKTG8v8vyKhPNWmPWhatFUBQ4xS6b87ibykqx64mNEQFfU
/Q1M0PFV2YL5RVSb8PeG2h9k9pBwVx1I7XwwdjjIYdpobo3tBy9PW/c9ffdRsJeG2V8ovxSXqXKa
L+oqPYZm4kACPD8yhV86uwdQ80PwAZSKgznH/WtbA5hZDvncsrTOfUazUfl5QwtikAtfeXp2nNIM
/18wRMtWSmL2s0hoR0zlwZwVycY1kNe8ojibNsGcphjZq1QByl8+AEsKOSI0Q5xyqtfYw/CGEzyV
PArwqrkUWcF95Pvm3FquBs15dCWmBmuI8QWp9z6f/aZln19Idp95CrFBBDzzq5ANveU9RPjXrCR4
aScsd2TYcYDwvdPFppO/y9QhiuaKRb940lsb1QR7IDjI6jUxcO8CyoKAW344mv0iM71dz4o1e6oa
vjSVPlem1dGs1OfPI8NQXPMi2yvgBnubiowt0MxpVdVN8i3uO9rr7AgcJwORo1MsQSyn1jZ1Tu8V
KJf3glTNjlgC71SHZJMn/UUYNU6G3AJTY2XdD2eKrAsBO3Z30sr8iYCzr2GORgXRzwVnFh+Nxj0O
RcDmCPalMNWdajlgiMqtXyN6TChjC7odI5bHugvBpVfQ4frwFgJje2lqDRIIzw5Y64E8l54JnzMZ
OTfHsKEWTyY5KyQ6X5ccjt1CvVgpyeGOLinfjKm5CYMWmMcgx6tJ98rKKYCMDooYbUjI73PkTR0d
5WQb8PvA2oyu2puR1u1Yb/VbhGU4cVAWj3m9L6Y52coC4Ig+1ZigyaGeU4pAnhtUnmcXV30wGtQr
m0W/izJLf0FfavcFbs7HqurVx8C1fdcqV54hvVFRaVnarmqjfjfmdG8NpMrpuQKZbDPGoSI7clZ6
HWN4wFLBe2yMxnnSF/ZnF7aWr9NbheGVGR8Vcg1oJhwM3aHJM30FeOltqtkqgmFJP4MwKrZxbVAd
qNgK/Qd7Z9IjN5Jt6b/yUHsmOBmNXNTGZ/eY52FDRCgkzpPROP76/hivuiFF1pNQQG8a6E0mEpGS
e3Aws3vvOefTi2s/IAOBXjWz0Sw1CeVqSoENzfNOtdLTSwckhoLJI0q8HHZma3XH0E2d7ZDiN1dF
NF4nTL04LWb1Scq43xAheBPTiGJmyx2focIf7F5Yu5FeSoYqrdtXdptcuKNSxxQMfRkM4y7gRaeW
IrWEjLWeLCPFuVI4xUUwdBxwUVeh3bMGbLxhfKznZSw02t6+yLU443OmbQdObz8Luz8QFuufQh9J
XdsRUY8SeLymALsbWtshFJ1sIm/UH2PgDM9WFmGYnPOLZoxBoifzB+W4ug2GJifCQxk4m42u3VmZ
6s8Ms32wbYF2BcNFiao9JgV828Ych1t3mtYqpOVmEx3WcqMUydamQW+oVPAzi86kF1QYFl3HxFtH
fsnjU1U1ro4qBOiS2u5TF2G75BGsn3okZqcQK+LKLzsyVok71Osp9cobehXlQ20MAfqLmBFcFju3
CYjca7tpnG3MYHQisSFR15kdvEP1JgOfEnRdg8clV6CuSLab8RiDFaHB1MnzrC0VGv0m23rBSALE
iBW9bkJv2xhVsTeIgFmTnVSuHGklpynGHI70tZIr3yLjNS3n16F1zUM0R9NzXCmSldJU0eHw3jEE
QiYQwbR2mUNucSHWV7mDwDHrp+Qcl1269gMnPfL43WByqq2VKqPmgNyEEWZfkoLLVPSMLN4EkU9G
R/UsHzusLG7n9DcTcMCPPoWLcDJwRO/JJ3eQWHqzfLZKoii27iBHsVVdnPwgmEtJVBtTWp/HkZ7A
WZJ5CeLBUOHWN0btbtxMwSr0RLclIoNKb9bzvWlHuKtJzX9QU+ZumJrcIUBjzQxU9q0IQeEQVzVu
/HGMtmbJlD9rsVmEWXmWaRCGhaVOObnhCNPZO3hX8/miVAXBefi/+C0k2dyrGA/nCr9i9cgHqYci
L6vnbFk7LYw5VamzXYpI5RzJorUjLRAGYOrr8oVxtHPSooD/4Mpq2rhVEx4stDAPQzPNd1nYN/dJ
5rgXJuAyBvcumLTSgItlpHTZ27xmcFwHo+Kjkw5oXIhADfE7a2Jhsv+STAvgdwbVtY7kYGwTxsXo
fGNQJrkmuLmRSHsRambhJoOahXC864yaxIA2x3c51G/kLtkEsw8yu5esP5dd4XffwUwbxSqkmNx3
XGr/nP07znaJrW5D0bJ6ZbeeH6CPQyMBkYLmBcP6CAxzd+1GOLPp5PRrpG3eipyuSxruhBtDo2v7
xX3CHGFHFAwK+KwGmAXCaKH1rjvPXZOMgUJ2zBbiJBDWC4ElfxncP0rkbfEmzhyDAqH23jxKqUPQ
4xBWiriPAaodszLd3VJShrz/RbovSN7dIhfkW+n4eZjY/WzRjVvDysw9rY+PuSWJshz7eVXNw2M3
xYdm0JjHywmJgB+a161dtlsnQB5QdovcIyHupNRlvp7irDk5fnKL+7/bkjJyCl1Cgtc8LYBW6Qpv
6ep0F3Aa7Pexkkm4KdICVwLSR7nXyuzxtpm1PnOl6vZSCrhbkTL9Dzy8KDcnu36i/VHflH6rb6PB
189+4KdXXHnqYlp3O6tX8oqzHNKmJvJ3BW/fxuzt7zoG2BnM1ngl5mgOV0Q8hu/0YDnh0y+vz0on
ItPXZc0zV32Lu3FHIKKRbQnsRTORVYHWPzLXtMYtEa+zufEGZGnE65W4blunRpxcZYiLYyenmyWm
jjI4q0I1H3UwIS5B3sRIFbHMaq5kcaFFlj5kXh9urdhvztvIG9DgLBOXMDFeJ2DUKGbRzsYVf3s3
wG8YQOaQsm1e0RaR/NVtQPuipaMnJIkDO2gkRYAFt0HaDs1yW8Q2+lVmlutSlRsc2P1VmOcbxD3Q
fZx0SwUUrmvMKd2sHko9Bg/w90q23YiQZ+IL0INIa34uyvFpbhGEujqzd3GfbIwWg59f62hdTUly
iip6Qgx0jlGeGI/tYCSg+Ohd0nYnoTCek1MdjuQ2xi552VRdCIpT7HkBxSwgMxovsXKOnGDBCydo
IuedqdkVV1Xrg4QQFeTjtfIBB7ntANnbN+JuXjFVMS6r1pmqnWkU9HHoaMR35K6IMw591dFOYTOR
GlXfef1UVPDQPJAMddEypabh4YWrubP1deuQz8oChkwGNkJzUFlEEamoVqqNE7rqZDi2iZAHdtMu
81uEahFtTXOQ3jO/17wjUgHReNOJ6tGZe1z9VCw5EQgRuXBApp2PCQ5PBzvXCDZkeOASpLNYP4AG
YbEkyYIWcuaEzg/XyxDFDaRt7lNmCGxv9EueMPrLZw1B6pyJVHVBjK28ZfApj57tOA+mIMl64wkQ
G5yq3YFomLwNXvrJrzjIoAA6muxwJs+2mdBO82jadfBqSHmDH0FkNpK178QLOA+E5ZiPaK/rH5mE
KrPSQVtcESxNeo8i1xlbU+BmH40hzGM4kg5jMhm5S4B1Rwj1jZZ9p/JeJ+nKK/KR8vdcziEd0yi6
6sbKxW7uEBrTdlHxlqK3PNWFu4TIDAFtiNygYCJCRcEjJKzwLiCwsCan2LXeWtICDoPSPUIwcBLX
mRnSjfCbNro2ZpfebmzsbLiHj2Yb6B9VaVePDJHCpyIqqheDd39rtFz5lMuZHT1OkoepTOancKri
ZxisC3sQhueLrQzvjS6w+5pjnVr3SDTxASV43FqO8OD75LbkETnVCK3ZUqp0W5Dj9AO++rA26Nus
S9N1Maf5LuQMwJiPBh78ozOa04UahuAlxZa/NiVuEHPyE6w/pKEyx9D1rq5U+DbTZOEFqPLmBeZF
eEJe5XGoniE242pgP22LNt7hc71n8yq/92VXXRMxZ+4ZNhhEIQhFGCLUHeg2xmtCu4c8KWQU9G5M
ImKsKN8jXk4v0XGQ18CyjzGIrIRrxmWaKi+i3yWSnENJaRf13dQOQBFhyBDfh2MY7bTdphe2HvKj
O0x4UomPPyUEEHwAXmYwWFkaSEFqoeJf2X6S37fBYJobspyrCxYMv95ApfeubZRH1Z4yebTB7zRU
0QRRp4ucOicaZfak/c1K1XBDw3q4Ns2wuRPkxHwXTZdflNB0ieAOMWW4wr8IdU0MkisN7CZW7/wQ
JGt9JzlkwBvVV91LifTkOVUK4WbuSBxffrIkgUyD6+JULfH18qgGm5gB6X0rGkDFfiUw5Lmw124N
pd3HSBbFRxmh1w7oipYtJ5J+IvCUCMsI44EjcG0SRTW9FUTXAwaid9pxniKBWtJ6nw+tpq0ngr4t
dpQBXOQOxXCGubGezVMaN26BGcki8QKTXHKJHVSQe8fUlTUiKv2dg0LrjFQsJTcZ/YrdMDc8Ogi/
ixxzBpsNRFkG0TWhrRd94yJE55GwL81O0rCTWpMY7snorSOlPNtEqn12ralONwW0wyOOx+o25kb5
O9dv3YeWASEMoqKRHxyN3H4VJMX0LSW2huZKXsv0UEv8M2smxtO042lO2z2xvEtnkEAMb42l2Hvt
CEQiTZAj/1mEnfPB08vOFnjDPpoNuvYGaaanSE7vSkGqZnI8jCtKa94Tzkj8BgwTLNsjI44tlz72
yBwH6EA+5x8qGkJallpAtp2QiljWuQCl3rMXuMrb47V3442kg22vEqEYeDj84N7SfQ/4a8IHvK0j
h5y8zpIVgWdxQuusxUcWtm5+lG4i7HUeadPaSIJ4tkUeNt/URJY1jnJAXD2jm+ksy4x8YYl7zzO2
9BVDDIq3QoVFdlB55nyksKBA3rklBe48WfupL8q9k/XeOk/hDRCsUzHM88vjEHUMyiTDtGsvoJ3J
DLJjN2nD9tuc1piPa9tQT4S4FqSRc5qATf/D6a3gTBhucEpRW10Ps4P4lV+7PZF6qC6mqTM2zGqp
8ads53qEvxtM+/bUNhVaV6etfzQ+EvBVkKdk7vviKmfuu7ejJkISiqF0bcMiP+AGjfsdc/sYv4D7
JipzujW81P1meLR2CPM+n2yr+uiEkz44Ms7NA2CwgOav2zwT4E04CIr1y7yujNvIsP8kxPi75CUw
XVRQbNw2YdTuIp/4SbGAB0/Wddz4S03P8JSK+Vp6BIbkuk7YtzmqXvWWkT6YPe6NP2Q3uP9OLoEE
hSkocRYIb77oe2bbIKw+GP395OFGCrxaHXrVMkUwGdsTkmTimYrZWsH99h/DzJaiuq7Y1X1mrTru
bFaTEuZDYF/ntUmkc8mAqSQZajdwjGfebFvXcM4d2jILl48GKk5H5bnVaQCZeKFb4lVsHEiDoDfo
oNTK192QkQVNZCx2jhz5Kpp9e1+MmbFKUAdtvAVf0imcouYg7seO4kAMk3XdJN63tASQYsheH/DN
I/KqIK2sKMaQSo0ku/9ea2L/XUYI3ccMwP84Nt1B+UXEVvAocflcTutoKKkbzGvXHadq3aXTsbSQ
LA0T2gyHwGxmRN10lrTdtAvyLaeARWMw2JswiQLSdWKkw6uu8LZpQKQQVop4XY3G2WhihfTzjAOw
k6aHEmPzH4Q5i5D0i9oqCAQDLdfnn+hzFuXcT49ewl5S94EK9qaqUa6XQT/jDJ7H+Gw29K019t6m
Z3PGXN/GJ/yW3XcmXh0WvUWtR8NNWEDk7XYgT7NEt/H7C/x32R5fzvXQU9vY7cRXkWBED8+zPPDR
gItZQ0cnCs6JUVZ/+JgF7vS3ixC4KB55BVjarS/3sWZg7LZhHewZf054B2xpHIZBdZtxzL13mwKe
NTKr16UVlhs4Ad5twiF03NAYh7yk7eCKBL8M2QwvSy3K4op8aIASWTiTBpSY97XO2sffXxrr67Vh
vTYtPIpIJ8mwZ+H49cY12A5oSPDs9a3NojDbpVhLk+YgVh6yGClDHoPsqjKTirztJdm7sM113Ofx
aSJcYIOYYfoQaTCef36v/y/Svp/q7//8x9sHmQ2bpNUq+aZ/FltbRHOxrP/PHLLzt6yN3z6G79/r
f/Pn/kUIdv+yEFwDHgDF4aO45KajvdD//Ie0/+J2mx5yQYFUmqHE/xFpW9ZfqPcQnTpE7+DHW2R8
bdXp+J//8P9Cwmsh7kYTJG02x+A/IQQvgUY/vSaos0mrRZ5tWh7MM9MKluXwp7WCGjWkhi1dOgLM
cop2HwxwKaNCvbKKD9SX5ibzhhIrcbcPfcKshDQfY/LOzqu2f3aG9KWr1aWn5mk/xn130I2+5iAm
1/wWyabqqKibmqmPEvmz9kEmMi57Hjg6BszoeA+gr3ZAzwhsXCNoufrpblz/t8D0v8quWLLydPvP
f/y6DX7+cmhOLV4omnkMnb78crS0Yz1PDPxHMA6W6Aj7+VGq+tokYeQ/+yR3eXEBfATkpVouOOhf
L2NkKEv2ReFuGDnQ2SD7pzQY0jMOqqPN7z9qIdD9dMuQJLsL7XH5lwNBzrO/nCxIVR0KIg+Rvnj9
Nxk2kuquXGZV9N0YaYc9LITcw3BpNl69keS9r7ER9CtJZgrHYMzjc1fv3US+8H/dl2VxYQh7Rkmr
niNjOKs8+QaC3CWFCbNK9a5I5V3XDpDosWzOJzeCuSiSgVrTBJPVtUcHMeOa4mHcUq4Pmzic3rx+
fmma5NVpJJb/zBR/uNx/F/uzgwQol20P46aw7OWx/umxDQXjjcmhNVH5/j5O2YsLED11rClOw31Q
PdeFB8yyX9tEHI0Y91ZuX3zkYEJ/fzM+P+i/H7zjB68wd0FaaNAdlm6k7/6nKvinL0Kjn7zPSNDs
0otUrGkAARny2Y9aUJ5W/i3vECWkgIjy/Ex1830lpps+TOXeAei2KgL7xunUXTomm1E0ezeSb3Ma
vRaTtZtzcfuHL7sc+37+sosLg0XIRWhC75El5NerVqZ0aTI9AtczKbwFKeTSHO7d3rxrDO+i1sk9
c5oj0IfDjOAvacxHI6Y/3bnOCsccFquUypxaSFvEVTMHWox2Q63cP5zB/nZ3+Z6BgMvoubxKgpXu
1+8pokZ6SSKNDVOHuxqF5m4oCtJ9BvK/RHdG7WEx7+R84nqazHE1v/bNfIecYtuR9PT7i/aV0/jl
u3w9SpuMRHJCyMNNWCJaZAKcBRaUN7LCfHuPxO4PH/e5Jn25R1gNeJqYx3BIMr882RI0gT/nMtg4
emb4G9F99bXadMXAU+He0Rixdz59QfKKDahvC5WM3O6ja8avcnIcGGNhu42Ggs5IUD6HHRGYbbAr
0vaebnF2ZsfMHrowGHehSG6CwuyIL0F16cznvkaGlNJ0XYFDbBhr26vJrix6yN0ZBglyckrBENRt
ltykaBdid2Q40LYHtNYAmQTYbjgs6cpWkbPVznz9+xvx62JOD46HgooGZ4SFS4Ij+q8PBUnteVtp
bgTAdSYu0S6tL/F/MJG4+P0HfXo6fr0FEh84m6Lv8kGO+LJtEAIDPCTknXZSSU82+45mO+N+18RD
BQ4olZZIsHG4cxv64910S0j0S4iUg857+KoQ1JWipTEBEhJPqcrte60VuqJ8//vv6f790fz1e3J+
+HkRNCH3RHbNzJDJ0flkDbs2k+kaeuZzyAa9kpSWm7jGthobMfOFsbxQIzHqfk3Y8JKSQwCScem5
rbEdx8Y5AMXtL6jPUYTZQ0ZClh8Ssey5yIERLnSDC16x0ZeoMfuVWxOqXet+RCpSo48I+GAUZsyn
54mo0cbFNj9QhVPlo5e2dQd/uXoadfoWLtqmkfjt10l0j3QjiZrj5PCjYPYGwDuiidk10VnpVfMu
gwDw+2v294eI045wOfWwTTvsIL9eskwHHDcc4tkiEV5qhvYCDVTiUErW9u73H/VZYXx5jJYzB417
mnIWpdivnzWmZtO1ThVsent2Tl03P81J7ZzVaooe4wHLTd5gvy6nizb6EUlaxBWdjxX6ebUadIU9
eoIF5KRCXRMN+4cv97VElJTl5N0utiZ0zbQpfv1uedpbhfAZHaYFOpxox6TqbG4e/nAFvp5U+BSG
ISxiks+wbPnlCig7i7rey6NtShi0P8rxQA5gtlnCA+YkrjZT290OUV2/5Y14SIfpRjCiT03Kfeky
fmvI7CJJMiGIrx2vgdHH5/Dd0EeG0v3DgeLffVMPOxp+SfiUZN7/ej1IcAqhdTDO872KVSUpdoSN
0WQgEDACVU9Uk9zR4CUMQf9hweck/+ueLH1OMRi+pGBXFl8Xm94v9Fwhpd8UtXwMB8kSA206YIhT
2rdQbCDuNH/4SOvffSaiLVTGpE2ywH25L0FBFp7MiKQLmnCPhpAc56QeTzXTpA2y1vOq6L7FWf/Q
xC7ELu/Nnu14HRrvVFDROjaq6tIfyx+pdMC1SpKB7n//3Lh/O6dA7OF8xwFXSjoFn9//p0PVaDRW
Zdra2LRowZIU7bMId2HK6wJlClBnNhMvxUM0jPaPVMSnbvZeW2QPO+2FL6qZiWr23Fu00D/SOCZy
EklRX4FHyZLrwcv2dUzym8ApT8/mm8d+u5VgNXo4d8eKH89o108p2CtEjy35fF2zy0T7fSrM+25y
X6w22gB4J6eE3mUUDtt+EWP//grIX8syNjtSNShbJIdc3h28c78+j2WSaKqNWG7aXt7bhbiZEeVi
1DFQT475Og80QacivqAhi+KayWBeEeakJgL3dNTeajXcugpaBZMJIhMydz3aig1e0tIhqUI2gKmI
CyE301HnUas1znkW74ZgKDXggwBUco68YNiAcn8jqwwQQeTf9U7wYtnJhQW/C+DGUcE76lM0UYMJ
TQTc6Af9/xozTnOpumTT80Xx8V3l+Xg+pul5BvKHHCvx1mu9MRyHfKpy2GuNdszI9g01yHYMMknn
lkGqWzpwC5xmWwElpSmIh14X44Y0g3EX439yRsIN+dHJFvW3QUVXVf4s54AUve9/uBVf30+fPiBF
uqS0Mx3368rQeYh5yXThPGZj9jkIeeirw5IOUP3r6Pd/u83y/5DL3aJ/wqHlf26gXLx9xNPbf/0b
kvu//ui/SO72X7RIKHsxAJrEmfi8Dv/qobh/YQFejsv+J8edlex/+9y9v3z+AKZMl7MiWxxf5F8t
FPKa2ZFs9j52wc/Wy3/SQqH38vUghj/Do2mJ5ozKnAj95dTx03qVWKgqGaG1uzHvYgTJKor3Fjmt
V4aR0i0R2nrykXPkazXL/DxxpsE6+SU4bn9I0rvStZMr1eD5osKZ3A+2yOB+LjVs27CKbO+c6Psu
fsTtEU7Yoyr/kQLSXtm1bW9GwzFXrYmtAWzBg0Sws9Zx11/Vpfk4p2pkvSjJ1Rd1cR/NJWhaIZ0r
hdvwYMOLPXlEOh1VVHTXBeYMzHhSjBXSJF3U4BfIxNc24WYgFFpzjT5mPqOFNJhr1fkTEPWwn1Zs
D3l1slVzy3ygmG/7oK2cowc6+642/bnfoB/s77AiFsFpdgcQFyh/XaTrrh33RzvKQdxBOqo/sB10
aKPQzjMqQm6iz7uxDIJTH9pSbpmD2uqGRm79gZuDYRDh81nPKC4KPqp5Ht9nC+vMwcZfUGy1dLI1
dEciohMiesDWoFEorvCtl8NphppJ0KTU7POwu16hL1v3lWcvU7jQv8HkI7AhpGgKkYEyPI9rE3u+
770TQuH2R8djJgxtXTVE6cUeEoN4BBDg9QrTchoRpxpaS4h0MJn3LmksL13uQidtDMW0q5WX1GuT
3LaYtLZhjP93jc1gOOPwpPclmwlWQqGKPVfFBccu0D7mbYOBrUlq1p4+G9aRpaNzJzeK7BVilHeb
poWBhMwszZMBNxbpf05oCxjKfFWHE2nWphMl67orAAyRdbTpHLS20J8xlrD8ypPBaPDcLbNvXcHT
QosnizYJaWvrOYnSO3RKYDAmKEJmzu/d+SG4LQN4zTpyx+rNrIgabZPO+RHlhf/kqoKH3DKJYXqN
a2jxSZ33xJWM7zDRTLLZeuOQjiLaoCdJ9mYKTn2jiyA583RxW1N/jCs8t+dCTOJmaWC8KJUnF+RH
Y5bNIY/tMcL63xRGQTRNppE/9wpEBCWIIHLcS6Ix4uBoE0LamWWMrCvNR39txnlanwg+NvbSn5tx
NeVRez6EqIHSsrz16SNsE3JO6L6kGMFqJ7jPXbd/US7xSWbd87zTExXxuu9bIhr9KvSdA8aq+Q29
RBdDRySzG1NNDGOtjD0GLqNl4PsxJRJifHEzksiqMBPY9kywCYdDWveMcp30n8KKdIULTfbjeTNx
/kAHt7jVTd8GyATbCOdwbAzWFTxmS65qT3kvziwVyiM/gvdOBFfnPi0pF8alcBEjQbRK4m6H2hmp
HtFA9rSme0vsNkyNydykIzeauGtyoXnX7agcL11khN1F2PsDSgwkM3BWAv6v29gfsh7FOf3CJ83T
5ZNknrP3hhH2oDX4bpPRyRSguamZqpJ0neh78nLEkZFP1NxlyA/8bWLoIP0+IEM477HU8GLTVCxX
02zlj4ovStBdlWbfyfIL1NYJQ1VD92sMfFVCkn1pmTPYwtY3mB+WnRXiPpzzH6QxNYAvnCHahmmd
tUeeTFxIdQK+AseAe6MWpEW5wC08YyztA93aIDl1rlDvjO0URkpEfpswFiNJqPyIRWK0H0oPlAYi
hxmVZoaOMV8oG8KsG068PkRPKZImWc9WIJjwCdT2q+yTz8ECKcmWSrumWvMrkob9SfNAEFzR+hwz
urJpqcgsZhx40WeifKoY/RfMRofpshsAhGDXCsaV4mC3ZR2KjA3WLXLoLD1cIJUkeBR7e7L2F+RI
Sh7gjRg71Lwx5UHRl7ELXFBgUcwWWknY4B5d1fkI9bmZkjMN+mMtDNXcW6XtPBXaG3aWcqYVeF7v
iEkqQq/FFlmAiDLN9zGiBncMzAzbKDFgckb+3O3JlQ7O60oT6Wm06OUyyoNV7Jb1laGr7s1ccCwJ
9ewjpAwES12f7kzVh7fslom/byzZ3kOSHd9B6rkfdmAN98SlweER5V3AsjSuhkYGgNj76o6oYBKl
2jmuT1g/WXl9S0YHMHGEC7c9YtayTJO1cDXRsAy6knjn54u9us29l0iS+L3pFoJNtrBsAmQ1xEtS
TNIowW+74G6kLAwS44VpDwfT7rDL97m/ye28OqBrJddQpcOlaBeYDnHJVrqbLH5hbUbW97pKjHP8
eU68tsvIqs+nwpnrTQvm46HJByTR4Viwd5V97R5rt+sZL6JzRkjuIz+eTIBAgqDpm76bnIu0yYKr
8pMchLPwG1uzOieCuX1Je5T2q2GBDdVjFp2RFw60Hlh1eSsWLlGR2Py3JiXgiu+iX3GCm/BfWxyb
3VDNt/Yil0k+kUch8KNWpt8xruUPnsQiMQBr0JfcvfLFnE3ynYVGtKe0wAbgppsEeVS/UJgw9/uX
nFxIVAnK4nlaiE1NYCTxkUl8vEJrDLA+qHreNzk6G2uhQZmIO/FKdcF0Y4FWqu/KNjdOtlupV9uC
9Q3ssGPET8BzAfpBVf2w8r1Wv3tN774il+xvyLT2nKOIy+y5GiI0eJOrMU2YqVu+E1Ogv4VAU7Fb
jJUyTu0nJ4sI0yClcOvlXeBOUIZIG5On2tdgP0NBf5SEssX+wN/GYkYUq+zxvyUk4NsNP8xCLW7c
1Mb5MrSszNxc63GEVqS3WiNZQg0sik3NwaxZ1WJM9tM86B/4U6kls57/NheamFi4Yvkg6vPBgzUm
FupYVlWIj1s5NTEO4T59AK9d7uOFV5Ys5DLAmN4pUCi6V5ZK8qeUHnO8Djxm7mskZ327lmRcxKs+
5odoVTC2q7RoiRAkU/KNdPSUmPXRmd6ShbOm21Hif2j7MuKNddFn2jjTs2vLwDzPjSe93uaPI18t
auhuhWxJLKbLfMvBNIbbE5HZD8ASSSYRC8QK8ndGeztIq9eAdAXeN7z3eEZmdCth1iPgEE39UlYa
8FsyqfItw8V05qIpf3O6rt32WMkVBzwjPIuqxiLc0RLZUfKVthFr5kTUtVk9aT9qvs1mhWMJ36C4
TGJBdRt0lXcbV9N4rvBP31dBt/AEVCUuKx9/BXNCwERAAukw225UXbPqTxuMBeRlcNhBukqTJnoI
ofSx7hBf4LZ20EMGDzA3Kuxq5O2TPFpQPk7Nq5+kbDW+EcxX6GYFmKdu7N60roiF/mQHFk2WXTlo
411S2QuIjAAyzUXtBW5QK6tz1y05jA/RrIP7oKkzf00lMF8mU2ziKhnLfkPPy302A5Jy77KxC64x
xTn5lgXG/9CcLbGuooEKdy07M4oaUsrjHC80ghoNGqRyjCUuPsYzEHHNDmYS9HuhtYu22FLyBvUk
uEm/HOw7hq31pvai7jGGiXxHR9q/Hj7pj7EABJnbWvQ7M5hFy5HEQF3LwM4DN0ci113vBSRbE4/L
Ic/PpitB8OE33ETObVOzUB/wyJFgmWDi24peGB+seOmO/dnb2ZOffkdUWm84ComHYCQvbteahndr
Yi54reZUJusgRrBFR50mCR3hgHTGSr5ksp+vC1MZ75VfpHfmJ0nTbnVxRhiJ/IGsN6nP56itUDu3
ovhw3FEDQxinAwK7/kzWIiMsGDwZLY5PfKcXq2mCeMEqdGiIpz6QpgICMMJqR4x23e5NjYmyiBWq
wCkx8ZGL2tmi4FEIYe08P5FRMYCqyvvpaV44o9UnclTiuZMbwmAQUVtVDUw8w/RPvIXaDmWUnI1R
C9O36J4hvmGrWBCn8wI7TTBlvoYLAJWtqT6NseMfSWtl5XEjeOiDhAk72XDlkgWkarJ4rRwjfkQm
5q9cZWMHW8CrNgTWCmtC6znqOOJN3zZo8HcuU7m9P8QVWVFT+D1cAK6ALVj/psCAcjdSHRra3VeF
jvcDRwR3YyP6uYyCqroeSxEfm7TGSwWb9WC1Q3bWRLL7NpC3ciONiflF2HM0whFb3bvsfTvPH9oD
NrjoleNMi+s7vk1KluZ2oTlMM0HzaGbQmfZVeFaLPtnXAd77McIm2y1kWyB682ZIBhJWPU3L0M9Q
fC4sXEAe+iNrQHGAHcn9xYfqv6aNjaqQOCh9GnhAoDNM2O4bWHfuAt0N2qx/m/3mYwaISE3jhst2
SjVWx/gYvUlBCMOmu6cEoqcXx1S1CbOjC3wu5TaWwlk3JVA/tTCAE7JDbhAcTwv+a1RnHmzUc7OO
6+Nk1A0OVKFMDBeCeTqenXOnCu957G88N4IQ0aGbH9xrGqk+cf75jJAZkU5rAYPhdiILzyIGaw1h
u5DCNYqqFJDeYwXW+MmMvGBN9emRV72ka5t6fEvgWl97sw0lz/R0Ci/GkwcPefexChnl7s2xdVne
FqwyU7IrFHrqKsNKtg9hQHT08TgBdgCZzdzp8NYpwn0yIZ7bqerf67m9KGKAzm0Oz7uxFsozIPfo
3V7QzxHHjbWP4n2Hns0nORdENAld7WWa990d+HP2OUzBJNfY3a7JoyVIWhkCqlBhX6IWGO615Gw+
teQPrYim1C/AQcRJW3a/LQsc1Hpy2ne/TDD9B3I8E0E43IWRQJ/qa3M3IIVCPOiBGTIs7wlHXpCt
yjqK+k2v+tncchq5pocIDaToG7LkoMYU+OIaQQhF1pVwfmyJkWSwGpDAVG1Uw4ZTv2p8OUiWUZb+
YHyr5b2MCIlbW3ZZUploOtqa3eRD2cbgwA8uEJTOSfk6Ror2ROfYebiSkKWi6yKtMRkkfcXxO0OL
Qnju66JiA0OdWx9t+okxcvMixclnOceO6mbnoSxnAjePyWPWjAOOar+2E+ymbVlirmt8JL6erhEC
NvNzH9fiKOkAHceutakXRqe8tuiweuQI5f1bJAwLz/0sGUL2I9RsxyURZ62Bed9Z7YRmfujJoCXq
6S7OpX6z84QFoLWKgy2SV5VW8ZnTtrrE/x+hChnos1DX5RiawkrcN3LSh7acHfsiGidIFE6pUrW1
W3vG0mQWGLOc0SBG3R+K0n9Mm8Q298i4AwcRcL4cGaPzYah3yQCgbMWEDY8LovQZSHQfmD9qc+wu
/f/F3nnt1o10bfpWvhtgg1XMh7O5k6IlWbJlnxCWbTEVyWIOV/8/lPubtrY9FhqYkwHmpOE2LDFV
rVrhDYsdfTSnwvPQnbIi1Aw6L3tMy7Q5p4NTVntm/NbqiTSpc8PLLIjtUYfvaScG9xISbtfikYP9
13ZBkWuXjsYYznQlDp3lfQqKGj4fc0p0cWnOoUq7pOYYAgtarig6m89ByYmF3AnipXncjmhzWMa9
9iP/EoN5jDeCDHhDXw2f2XJpc03Id5HL6YvsnYgs+6vKev8jnRkTYd22IpPW0KJhE147yFt/tZs4
ZjMFMQ42yIPtRZCobxmsmehYI26BHwKs7wZGjTXR2wmKxiHjo2GwsVB16EIXX2axbZB3v2LigJUF
+IaYfoSq25yJGbR+LKpKRH40LrJOaLU4p1yoBDbMJgVDTzqM+uvKOSs669hSiWV7WB4+5AlvMLdN
7nR4nje6f7Siek2VmZJw5rRK3ee0A50womP5rqR84W8LrAlCVA5jd8M5nePy4BT2l9hobdDBWIaG
+QiQUmAyT1/AgWoIO306R+/ffcqV0B/dQviPi1uWE5y3xLipfGXNYWsD2Q9Hq52BLUDg2qeqb87I
xNV+WDTmUtHct5R3sHYA8OA5Df8s8ePPdj3rQ+n27rWKSt+m6CpQ7Om8HlfL1He+uvQ/DCbVYBpc
W60u7+Q8j1lrtDjauz1mBrVr3RQMWY6q6LDZyjpL3ZWGqo9jZNXI6DTUHiHjVlhtonHLS5EJpIXb
umCTFFZu691QVA1ymbIwkOIdu6jQgGPg/+36QmSHfPDsCXGyaPo0uBRYPInfwjb0+iZ0ezw5QshW
eI9LnE7gMAYzDTQUvaIvvUrEve/5ybCzOxyioyqPrQu3HValbGfIvsi2X+hbpJMh9nMsTCPEqaBr
cNNgiJyVPUUXy9MF+4DDiQOa3JziR0ZG7aEopXtOQ8RL96VvlQe6tepbWRfyqgzmIAOL1Vv9pmhh
mLxL4at/qAMn+1iP5gDfY0bsazMyaXLDHAYEoCW7Ry8G5DZOUShCY2iKFdaw6Yc4uC/ghX9DWIXw
M7siQ2J47OiD4E0nL4kTALVjU2gWaO4U4syf6qaEQRgM1gVK2hjbpNnkfW2cvnnA9hxfgRwQORYt
kpbeJu28OYwTl94jtQA0xrxvAJbgooC334QxzQXjLHqlaZD512CnINt5xE8Cdobm7Cpmbi3bvLRj
c+uU3QLLGLI/+u9JX5tgigZ9zdh7QidtzqdPLhJZ28Wr+0/sJIxsGgDRh1jHbX+pEdJwVvkIxj+G
1a4e25BV92hMMByGQot3OMcScWXCIqR4yKwBsERQLYh7912N5w7HJPweNxgRakB/xZCtU20Gbc6X
c2mAF6OKNGKIjFON14qqVLaT6DjdStSW9MEnM2oomYJ2W4Nk7HdolURXI2beY9h0SCmgqQsdZ8wL
2l+5GQCFIqpaSMgV096oRrO/nEc8l0NjBRaHatb00RBeoJnUei5xYEkC/7pdOrJ7xclGCeYyzIuy
VS7EhwmKnJYfww8yx5hm0Vxxw7ExtdFV26MxuVeFeB5yw0cb2hN0HjPX3dhG1WEEn2SM6Z0EijP6
2ropdy1hEzWOrjZuY0oN/4NMl3kXuwPa3n7W1RwuYoAB3EZ2+ox6x/xZkZA5qA/I9I4uro0HYOnU
yB946V2u/PnIBBX2R5JP3ged9pgazEP8ISsSMmmYjNmNqtUjRLNoV6Wel59lHCK7COLkJq67Idr2
mEp+YaBjfKtSPd9nKoCTklRINGw8wu58oTgKkT1EBBAuA1QKqABrLxs1ua8kc82TmfnFw2JODSI9
GhVFirXk3BDgfMOuWp+oi3prY7muJKgq+7swagA6CHGj4RbXF7R0bJQmoFW35iz7rVFUltgs3rgc
QePGd1096rtogW+TZDlI2kTG8n1Tt8RsqETdfe5LgQFT3ev9Qn8l3i+jNyRhYbR0ogRyhss+gqOf
Hn2WLyLtmCmtzIRkRJ0OIXj0xRcxLJd6RR8fW/QdGM8knY8YTi7FGczN9zC+IANNYv4Cf3FnGXa1
1SZIS79e1PiVgQw0uqCWj+Rkk8PZliXu+5zSBG2h3EcCpXHj+wZuyj25aIyRHqQzI8SMQaNqmdf1
R9czq2cY6uSiVkMfIPRbs/gOb8/PQ9/KFPDWiWZ/3ad1uMgJwB1ux2hUFI1bHF6Gjv+3J69X6dem
aqvn7lRg/P9ZFXKkwf84n32f5sTdn7Htq5o4P/L3XNb/K0AbGX6Ta75wOhi//pjL+j5zWZNCRAD8
8Vfgz3/Hsj5weP4iQH8FqoP0QB79dyzrMZaFbA1W216FXi3/X41lX0N6AJDaFncFlgcYKUg+5wRC
EVmJibSf5BwdEuN8aUZmghViJ5FEHWUayUQBimztpK12o46nh3TM0eQSJTWbyVxKrH6whcTYJEta
sYW/6d1RzUxnFS4NV4U3JW9gPl6Dcn693xNIlmPMbpf6szgGCG8eoQGiDIIoHQixaGtq5PRkHVDG
Qo/9sfpZlPH36jcoeUAMrzAOv176BEioXbvQjbbmI5z8dLMA07vOc6QAmZZV6Oka1XYJlAEfsVlP
aOfdtB7Sbh0UW0YrcZhppznOS4nKhjEWG6KCt/GYfiOV3J9JzdtzrWlVHYmhwTK7QMmiArVbmsd2
Se/0kO0Y8z2geEMCwAmhgZUqf3jMU2NetnM91jdVUlQHrPB6MChmjFoK9u25mlIEoXDMQ16junL6
IL1qymX8lPRjt0U2scLwTMndjDfOvtEd8iBfkds0zxS+UEaHAl8ZoJETj8J8sMdqOvNoRxyUpXw6
+XG6z+iJZA2SwJugkv2jTh3zkJQYhi4Q0DYkGukOJ1a022X24LjRu34eb+mrNGconY/KeLTbMrjo
KLjP5yz42EIqO1AxXDS0ELdz4srLbImvioJppY7BXfmo/mycfqXncWoOvvelwx5xO3CCgwnMzhmS
Gxs5zO8mSOz7lk7FrgeGHBqJ1Z3rYWI010eEeJVeV9HCKdOYxyaumGVO59EyR3Bq9ZbUY4OVBu5L
9bkrImcTI4K4z3J7wuK+aPfpgmtehVjkTo4af88JJWXAYtWOB0sY9AJZcBrX/DzGsLdxvMVxxRHd
jFxoeos6kHXOrqFT2F9Ec0CXwJfDXifT/TQY9PcLlKcmKP3MMfs94CINHd9gMDWNO9SUsNAN+CZI
RiTvgp7+7oC27WWQ2DvEJgQTczc680vXPCCNEJ3ZoBdCX1bJrsYtCQMu1wmDHgOxAdOye2Oqz5lj
7wwEPMIhKc4Wq7G2imY6hT+rmePO2EM5qRhoB+PGyuHxjTFmpFPa0dXHxYnZ732Xd2GzSqjUtb/B
f+oertm2dRFykIp36YzMddwce2wLncG8xq6y9KSFoh4mhqrX2xHdo34IkMLna6L6Ex1c50NZtnnI
BA6LUEerLTJd2ZZChp6byrZM38EWeH52YKJ0B4PVvMD3hK02TuN2UmO/qXTnXcyVzt8zqzC2s+cd
ptF+n1cO1oM+QiUFvedN3mfXLvKIjD88uWVI12HjYoKeMuTBGJuDIw1IbG58RwOPcqsILmI69Exm
7lKfJK+ep/tuSi8cnYZdl1wPtcBb0aGH5w0ofn1YVP3Owysq9Mz+Lkm0/yDrPN2DwdmVZv8lT2UU
unGDYx+GK0V53xq0E6ZgXyfFVwQod90CCFR5YghrCQ2xtezrYHaBzCCMnGY17dEALIN4N3nxeYZs
41XhYn+3iebZ28doekMyRojxaR1y895L8/1EcdlKJe+MlnYlagsvpMfp6yDjCc0dEoYNCUTwJVEg
DEwe62yiq8ynYmoUolxrgVjWNG1mdEFItMEh11Z5bDQze4kzDX0dMH9NkTu3foRxi6IXc7Wie4/K
iJNzi7i4RVzloUhTVDKCeryYabLcN0i77JfONpBGNszDmIj2CJUAs7mx9ExMUycTs8y+uasZ498g
T6uPacUQO4KuflR0bTB/ZNrYqca8dOvoncaVupHWvHPc/H4us+6cARbnQ25TdC7JrtEemAfqxU2z
ytsAzG6uZY0Wr+lH4CwokhkDYTSW5eibgttPz2JvNU0wEGWgo53uPHOICHatg3CKgVnjQrzLbMSE
fXiqKA1uJfXssRlBthuievbi8shYszugDi9DAwXQI548nywDwTA7jW69FK9pkUTGfmoptvKBenc0
MnFW6Ky8Xpq36C2W/PUY813BuQ8hyAJ3vJ6wP8GwsLoas7JdxJEdjAyhaUsDMVwsP3zleVujgVCC
3lr+nnK8OyKPU19H6+5CW9K8MLOovgjGrtmQAT66gE5vc4QJkQlpVgywKMtrB3UQ/FxNcCODio9o
cJRHOU3tDvIbgQEATlOb/pFC57mkO0ELvq3CoiluuQ9jR5vhy09Qud+c2yRRPyGHX07tV497glnO
bKVklTviaODYe9c2kwWj10fyG4nfN+DRr2Hzf1/KM5EP4D8Qy08AbmI0oqLLJ3FMe+8ZpSxsrh37
M4ZH5bZx9OOfn+sXTiJfEOjeP1cj3/z5O+IaXgzIlsmjkw5IVjjWRwukzVk2xt9E2tRh7ebdTZ9A
e/U7ieynQT9E5hrBdNjuV0HWHzO+5LZlaSq3nvZZ23fnfcSGj6e+2KYpnzB3RhM9i8zZyrkqb8ws
wRkRqfu14uG3IX2HLpJxOa0Hdb0e2Ug8X/z5OX/3/cB+O8KzBPpR3gkXQRh2Ioy8FUcGyrdVysyq
QIW9ZxD6xoXEazz1j8/385VOUmEoX2WCkJp1HBBzONpR8F0sDAKVyei7zN0nV4LvmRz0hII1U9DI
1L5BWlw/2T9ciJc7IONHwtqDJMenXbfuT1uT2ZprGpwjR7dmmoKyE+I+GP2RurnGTTrgEbnpUVd/
Y9n+7sFfXfYkp5ZdRXCrRuto2A5hoHG+ebngZG4wKqMTYqDBO11HtAxv1JrleGOXv/Hgv70FPjJI
WIGWlx2cBCVliqnVRSqOVgqMouVITJ32iqobpaEOhwelXZCJJvkmLnRE/foNpsdvti6QpH+ufxIl
+hFApihj5HhV/9lq0+m6KyML2UyXTWzEP6ji/8daYq0UTr+z65tAKU0h4WeePG0ypmjRYE54dKw2
uxRjPtJtZpr6r3cO7/Ofq5w8U2uZ1oBACaLZ3SQ2Iw+4aUsbzWj4rv/+SuujmNgaUa3+Evh00JcL
2tnHJRpptfnio3LRm0SL+8/X+e0y+flCJzGP+qPvItXY7E7tfU/H7l0mPfsQgLiks91b7/MYjwQ8
F0iP6eRTCuhOv0F8O9FMWHepbZqeZIuaoKOp3V/v0iiZgGKlkXXsvUyjltIM91ra4ixNJ+uoARhX
OkCcZ4i9TTrMpG9YiYRezSgYXNUXw0vzHWoqnA5kF8grxMVHHJHVjUjlh6yhkfjnd2b9uthQrMNz
B8XY9Y6dk2VgCLrpxdJwazAUy5nWqkgQUa0WZIVdY7maAnfa6d489m3CTGJE8IQi1NgjSkv67pSK
Bj9HRzOUZ6Sp0S6rBCwcaprWAKdMEfGs9RifmXVBCmfZF1C8a8Yk4DxRKlvFPNNupxckazod1ZtB
fYc7IzYIxxcQrgf7sm3bu5dH/v+NqjeUGFbyBcSsn9bHL4Z5/6v89qX4Uv7nS/ntP9fp1+rpS/Of
s1bxv+3P/av//Zv+ttCz/oIEaMKBI2Z46ISwxn50sAL5F2RTC0A/llWe88I5+LuHJay/+JuVPwB7
ykPshpP97x6W+xfswtUKyhMO6jv83n/Vw3p9cHs+XFeUIcAHISWGbEpwsiGp+R0UOePm4BfQclGP
kzu2HI7hSXA5oBIO6P/abdHLjmWLXiJAr59e4W9SzJOw9N8bgCkpPd4PZKTXEQE8ivZHG003HIXR
EFumIYQPTV87jXZJrSVU4ogqNyC/ohe9QTOufeMWXmdJP+4A1ropMCpzTf/FuPmnzKG1gV+pQtWH
po8hDwjvvk9Ai9XlWyfXGi3+Obr+eyGXyyDbFMDof/2o7gKQYp6r+lBWMHy6uAv2XqcfASwGe2Zn
mIgyLif3pC04jAj/Im2OhNQkbx2ahpdF5Bs0ya3oS5s5467Bm+DOwjUlXBfdIXCm5qwvq/nQFHa+
MzRlR57bHqWcRqqwH7odZQMt+17egExUOO7wIufa/QTX/cxsWh9Bujo6j0ucAyns5kPrLMnVHD0A
QWmR/EZYQPjO3p5G3Ava/FlYC27Ig3oqDfCWCkeOxQ++0wq5Az/+8Y1Fsr6ZkzfH6jAtCFIBhzJr
/lVyhxpb61bp1BySsYCA7hRPpfbzHeQ+bi1qkEoHts3phZFJkD9VoiXPxAs1rJGImtMK0IhfYuIL
TCKMxvTDUHG0/PkW17Tj9R1yMdM3oY7bawGzLrKfFpG3lKaK01ofHCsC/DHNn7IIrqfNBD4CcQOa
mv6TB9HijeTrVB6CDWw7zHg8LBGhWxJGXl+40IGnW/oAB79N1A7wVnYGCaE7SolTYQwqY5t6yxBW
jXQuiplXVbYI5np+yZpDdRAJ1Xjf+22A7Arb3kKScRtEND8rmEIHlUUd6s0SGSWgXG+5rkn5y0uz
XXr3iDShXkM9dnK8mn1gg8VL1AGDxHJbG4A84wTFJGsIUMHqq13uderQRV1xrSf/bLDE2dpCx9m7
3eANfvbj09rTHhsDFwG5jd/SaQkMHhpgLI0LBTCQdt3Xf/ut0USBs8dsAbtN+5TajN2vAfyc2x6N
hqGRTdyCpJz/eNGNq9GZ7RGeR2hTvhVCfvPCpC1Xp0jMWZxTEZheFhFN0AZrkaHV4YA4KcKEXftG
Svo661njlE0/hbGGb/JwxMTXS6pUGkhOrdQhmb3ywNg7P2+i5OmNl3jKwX25DMwICXhKULXIk69f
FQ0S8jQ66G+r58iLGkjQbYDLTmkxbbeJQ4Exsmshc+5KsVDKOepZxPZyi+bkzin7hB09B6EAqx4W
VDq4kMXmUbUscvywkHc2DYwaS//ecI15jyTPNajl5iwde3ANKMBtBqGCvWGNHXAYPAXRuwQERwjG
QE9iAx4YjHb5Z23iiEsGS2gU9cpke/Dzdu0DUlngySAw4G8A90E8gkDHRCUN9mg+l5sk0PZeyvbD
hCwR2TSNsajLnoolfXIy67bQS3QeaRB8tpU9NxLP9bZPAuSLyqMxBSai1mawV1X63MQROm8I+m5o
AZe0uSBz+IL1XcYtsqFaPbkDa9DO4wcGTst+UME9SkmswC7nvq3bMg2QJsN/c2fJDuF0dvu4HjCw
3dqPenLajQ2zC92yEkcym4upILO/CHPm5JCgUdWYPrVg27ZWXUt8r1QdptL5XDZou8d9AYucChii
3kKusLjGzlPZM7rNyFXEnY+4Mfcbd90dbP3vbs4BP9J3j0eMpAafs2XsdbuDtiJgDy04izXGo2fq
dmtHQGnB9vpbGJZR2EM/2hPLykPupE+MoMqNU2PqZrQkCWqmT1nYxaWj9PtMBPd1WxRsw6bb5pGf
HDhWLM4+QGzK4tOUbXPnpuDncOB5Rw50iLzyqTFbRis9YhMG2ONdMPE1i5lgidCvG/rK3de1esZs
SDKZGi4Y8l8sRf6svDI40B9ut7HNg7ZjAaDDukLwU4Z+OfhbxAuu86iSsJ84A5Brz7eyByYSadY5
XC9jN4MQCHPBpeYhfzZigxXLl509DI/ABMNEq50PQ47Mc4mfwEbaONIjZPEMhJJFkBCtkUXyt0ZS
XU4Ih2+SnGRCLcUTDCH1rg8E1cpg+O/pYO9Biz65lokB22yCR428e7NTPCPp6aWb9aR/64cheblu
3abboaHH/61rdx5ZNiaG7SsoD1+cJH3yI05jJ7Zu8UkNDt2snnxzQLWZFS7omQGBZS01C/cdldMe
oHq5E4V7AEZ1rwNyLewI8x9boGCFCWHdIqHWbp2BY535C0L602ruk64JkcHvqwptbfyEFWQJPn9r
sl10D+9PyiG5HE2aoGLEP0z7LNqqS59ebpzbJdGiygZdyZlGWdpcSKdvP/bBGOz7ziRea4YHyks0
JiMBpn0D386bg3y3YI4pXEj6iPAjJAnZLMym4bIaUcDK8ijbT11UMsRVz0a7BizP4Wd4DpYuKhTr
By5M51aq+rHSvAt3yp7r1YMQA6qnl3DRe/lzhz0fVoxEgjKLuUDrrnLVnCDaRaOvEV0L9YaXSDFA
ygaqIiSR9zYDjVl6ctmlAu+8zWuiEoEKf4dFPzqyunw5nZDWB16DJeQepa/oHF7j82xG0Q0knz3i
A2iQu4jdNG2JQQVeocTTbyV4s43FXBrnr6bd0MZ/ANtJyDP4vQOxNncrXsjkHPBOeepIAddwNsNi
3yTKvX4JSr1DeAFU+ZhN3FsKxk5WdPZrBR3GM0sMXNgqeHM9zUaKP4TVABwb+LgveVqyJixuahm7
9dgBzH/98oRgA5/XLQEc6nY9CiBg33aaG3v5BloGeMIZI9MY6A35eOnHmRNiBMaygR20iSTSQpVo
HqH7oJbbZM+5jhWddZZKY7IYXyKdbxNMQAfeV7NDRMVnEmWRYHzXgiyEwcb+zdiZDBkWfgoCylGt
Ttfd+nVATUFkWSpIBSWosIx9OOllOn+JxOm0JmJurECp+5wZmPPifeXfe0ojasRPuNyJP+1bAMRk
MXyAHsjRPq36ZQ9wiolrYOagxTXHT0tEYA3z69dzxcq5qXbN73PXuRVYXUDMmQ8YcLARZ17kusKm
hX+JLM4tmhQaVCSfaqxYdE1A4KE/yDIdiD7+wKexAhKK9eu2WQOAlh3uJUR9CrXyUMf8wnqgcHmJ
v2qNjjhklMBVhbUxQP8f66ztdusZ1wRcIE5Y1TgnkJAt+aWLUSMgA8JNpkWOKx/pcJ9matePTX5l
RGp+MJMaGYqC3W2hGrgxp/zpZa2UXfGU+clzuUz3yLHPHBgNHZGBV72eNlFAXMw7tkDUdPnV5Ln5
1jWQKLIHJRHnhxriSDy3elyg9zBD0DB3m/R6THmrzHrIz1FABuSfHJWuOPDmrr4mStYXqZ10KHyX
QJGdwt1MVjJte7EE+7wf/V1VBQjc1ODiqnacxw2UT2bieomfEm+ComQJO90PQg/4BKYoH3pAxNIJ
q5K6eoyasttPFH9fjSBf3ltwiC9Q9J62se7eZ1iUHSjF0q2MhHhkkgFqophLMmILqBZU1a1l4e4H
VH7vLFRySPKtqYEeqrPGSbwb0RfdqrsMAXZkrJ/PdXXmrzVmnpAn10tzbQk8B8CXinPcBp56A2v4
zANKRsvLQikRrYF8NJcLvBaZp5cE+7USrTydbxPBdJXjvd07zpgcA6Oor1NH5UyX4U6OlYJ6Yhdm
2IKp3EwKCvqgAXUmBRhaGL2Ir8vme7aQsHWDs5o4YgxsRuAn6EeedUH9qFa3V4bty2bAP/NqwM51
k/tWe9CiyVCDsSMuD1AM1lq0tUXP7155vKkQ/b7pnXMF1DpW8fg975oE30M/2o4ItAPjd78yethl
8fwV+CyFrmAok+D2g/UA+FSjxqeZ1QBAPi/TDaIMwyayKyRQI5m6SNjQ5s9wFLBg0e2G2N6SPN8Y
wH5oSZMmmoAO4PBjKsc3jZMrBuEXKco7LMLxAV3z88YF+uGnhSaUG9+1y+Lz4OcyuhZYTvfGF7Si
fNYTGP9usW9Rp8fVk9lsY1j5tkSQAHZG3wLmFsaxThNz207IKPhr5bPkGsfdhbCU9umzmKpgn6xU
JBERaaoymR+szq7XL7zgN8UJZJdu9DxCLQhB0KkPZd3bF/ZiPg6SUGGI9hGZBFKqvG4gjwY24Q29
JBgjHV6EJMHJVC/7MSdjMqnhsHqC0wukk/1tG/mlZXLOxQQHU+D/ivw8Yse64afWpgMYFcKBxTb1
8ZzgkBG3QNch2pQpwIWCdVutS5SC+WCP41Mw9P4hL4dbZLoxqAyQGTBKuI8LR8F6n4Nv3goaJIfW
FZSFnNYYX2ZPvUiecqd6xAyRHNkxb9sF4m+HAnE4Ju10LgRS4qnp9Qyj4hsA6pd6Fp8pIOs9HivN
RWvK5gHrlk8ZZ1rceYdazsE5vFKs2MYsv8pG7sYnq9rgsUB2vYZTHAuWq7znxBt8XAxGx7/HkepJ
z8UlCcZ0s3hTQxZoXemGvMYQAYjw1KVu9IFByBHPh6l4H0gEf2SCf4ZUPCsox2t7zJIbsxH6U2ry
7vGK63Yi986UzQrTitXQw5knweKdFmodO9qeDxGoxNnYSMf7AsY7yGqWm1z7a2kMJgHucDj7xLWo
Jc/J62S6NjD06DdusAbpgoxvGDS5d9sBRRjJMeUygJdPM4jLTXVE8v8QmYhziiB7Lo3kOea0bxrO
IRCk17HFfb6c6N1EEbamO/W6VpFBZxxmgziKyQkoruUus2ZjZ3DDG3s9M8u5Uhj0UrUsEz0sz3Uw
4Iubx6rg6BnGfnwXa7YUoyE+NoohB/Be0flMz2fV/Zje5W6X39U9TM7CFDsjxlx78iC2Kyp66D2s
ScZH5WU6WKRR9uxDzwzEZQzdD5Y2axgi3fK5QM39G9ZyQUjXYqADgshhgFMmBuCspmAGYq/Glt/S
FM8Qnc2nIhrKS8Wp97L6qTeRCMlwf7GXZ5oQPJVy73z4vC5ynNDoKfUiTq5MG9/XXppjL/Wxj4Ph
ysEmYzPn6xkYsz77SuKFRA5FUIj1bQNZmsMs0CHzoSyUZnKNG+kKBrLyXeHhFQAd49yABk3E1Rez
XJadXXP51bYizGwSrNSQ71QzoPtoe+PGSEaxBaMW7FntHHE9n2go7duXszeY2KeJHd3/ufB3ftde
QI4M5CZoDtNcBZB/bpUNGcyROJvzA+w6CnGLnjKU08da07dEHmLZL/gf8BR85W5Ryz6RRU+o0R+c
GpEbfW/6qWAPU+iuaUbvmcbO9bz7fIhvTDktoVUgxA2AqgfLbeJqNg43LqjlLYrcJMBd/PDSa32p
kVBF+YYzSPLsTqj0OZ17K6AibEejE5fSnadzV0/FJSQJErphTUo9aiAoQSn1Ug4ipXPIvQxGMi9F
GNws/673IedEzUXZ1kFox2sWmKR4ZVLzbp3Yj85yIaY3mo/i1y4+EwHm+4BdUa8MLOv1K83wQipi
dgpUPUoO3xuj87anI+FKki5QRR/Sl8BLhzQEibZWSSSNf/6svzZAYdExzIAFZa1CVifdHMv3ayeV
eX/IPOg8ULuSI8oFnEIunmK5kUGHcQczHFRqvdGuEr9pI1K+M/pGcNCW9JJePz07W+AIGPQHv4ZV
6hDU0QQyxF06usXWXrT+3AO+2UXmAq7LyW6qoRjeB1oeZmsSj39+Db92qm2+ABKQlo8HFvDg1/fS
yx52ZzXmB3sNAmvDACYdKTTmvLvGgZgbE13/fMn18V63nm36ow66Mx7t5x/Y259az1bZmZSbuGi2
keXvVI0sSh3zJ6Gq+6ltBjj+xojqfKNA3w7F8c9X/81uZpTBDTAkfRllvX7ggpdqdaXRHWpcGEEI
opxWUlC8scJ/81rpMqPn4fj0PX8ZAHCaSoDYq6qjSO2wx2t4i6XlZ2Nur9sAz8sOysmfn0v87sGs
FUVOf1swmlpX3U+vFWZMTFpSdIc4zdoLoFjBPu3s5oyQQCtn9O8Tjs+NNumeSTd+KiaFPeEkNLTk
GleLIf22/Ett0bVjus4RXcdccR6/LC70nJs0MDV7LM8+V9qZv/9IfvOMHE9N9fUbr+DXyZgDzgKB
WgD1iJyd4od66RluVObtwU+960bKYFsacJwrKDTo/nEAi8H9YqvsQZvFmTK9hyZFM29Ix6te5t86
f8TNzUmXN0AEpwLGvAbHARXrsNTZ2u6pdKEFa3GOvRguWjDQp1Ekz25NqEGTiSNTyjOsQC8TmmQf
rU7r1RiajDYpaOka1aNoJhpT5HHgYiT2OFUJV9W1rjGahtabZV/d9uh0QFkXmxSk8xAft26BRz/3
caI3RdxnO6OL4XnTqfGWGPRkyfhrHYzmLo6S0lRZaBddBuh0ra1NU+K7B5fWRBuCV0Mra50svhxs
2WI2Z3/+ZKfmIrybdZIMVcJyA3gJp5OyQAwTwsgm9tYoMIOhQ1zI62KQWCMyG9pb3UVRS6B1UMDl
GmBwro9JaxVdAuSFZt+jVRtx0iHtlp9rszd2jsmUaFjz5gVtDSwU4+WKlgQiqT6d0Lh4M569gEBe
BzQPPBLaoejcMe4zT04zehnE+YZkk6QUjm/gG1t6auOm9JrHXgLCSNziEl3LZicyD9FNlaIpCX3h
z6/y18UPhwRXDylX+T/08F/vf5ByloZ5XB+QYzuXIy9GshKwPnHfuJD8NdIwOgS7BUQPbIx3GmmY
gqCqpODjRSVdwYy8R8x42dReVz6rpaXD4dGVStfucj311QZyGDeDEE4IjDHejjqBZh8/pSPzJq+g
3sspAXm/+a5aa8aS4p3+9iWYcBqnijacEVG7/Plt/e6jMcBjAOrgK4Ee8ckcsqRylQJZpUPSFris
KxzsmnLSYdGSdYLMx11t7L+t9dKc037q6+R5Lvw3ItZrKNo6ufKARTBPtGD3/HpMIB/QeloIfTDt
6rsVzHXIa+BiqpHhOL91Nflr2uWtyMqAua8FcNU/STwsTN58KEqa+SW6prnGEG0dS2IOGoeBiB0a
uCTUALQ5Inw7fofZ5mM1VfmVW5Dc22b8pH0xXylkvo8Dhfcmt3HtsQsqeyNqh6vMGt/wq/j1HOWO
nXVQ7LlE9FOsQ+NMXtFObC1kOMAxtRqdVDziIHpQP9HKhrxqqjeGlr9J+LkaKwLANBgqQJ6vd5Ii
dRirWiImktHYrCvLphCfoKdU9gSxo6OfGpcFFS0u1rSnLgKLRuXaM6TfbuwKWZmondBCiBgU4aA3
tDRCLXFOa0Xsa7JZbVFiJi5lt+V0j3Ih33rpiZSCwmn1CILUvUaz1KFfu45fbNmntzkVVQgnMsEY
HRxcjBFLCDLtQdUSo3aDoZ5GOQs70kLvE29N5qMxODjrhBKO2e000id5mW1UCsYJM7evayXsph2X
m0wmFNFny0D3AkWGES4ky/DPO+63YcNFcEDwcm38NU5STe2jcN3gxH2I5y65AQBLU4DyZS8du8OS
D3ZSYlPkpoF8om1ON9vhQ2M+hDoWmke70m2wP5/pEb3E+kKOjEbnFP6O3Wpn23Xy08to09YiAE1R
NOfIQFrXiNa8NW/+NYH1ia8kr4BiTORXT+J9E9uMYBuvPZQeh3GPz+pqyseWsJPhIm6CIgz8pfhk
+5G3Rckwf+PMXF1wThJoXyLMbQHLAQ4lTiEUgT/lWO+V1cFUTNEq2Uw3Iqff7ys64RYGnx9K7RSI
uCf5GXR1/GpsTsgJ3jFBmT85OZahvekV23hhmXJ2MVHyGAC5s/3ZFP15PlePBsyF8GX+QGvjf6g7
s926kaxLv0qh75ngFByA7gL68PAMmo5myb4hJMviPJMRJJ++P6qy+rflqnT3TQH/RWUhIad1RAUj
duy91rcMjT5fBAQviZLuWTTrNEDQZM9oSu71cu3xTWs7d2nSm65V9qNeCLyx/kUnobcIZxE77LF0
7WP/nf8x9Cg0/bvdZ8W+8tAA5S7jxt8st/W38POpDDMbiTHocptT2Vmf4g/1sGRWV2UrEqhlSPEx
ICjtdSRsMBFqoISFy1CoTZwvR3K59c2SUjEQQcrwoDl+jGEWfUTb1flWwGl9U6z7W+vcE+cGtG1o
vlRM9LfxzCzC1ct5/9ef/td9zzMdKgree51r6ucr4jhAMCppvOw1z94bEfPFdavIZ9qRH92oIip/
s+utEr2fnhfRSewDFpcym0qGg+nn54UXJ5q7nJsgre1mM2OrQtLKcfwxi+k/fr0jQyHJ/oKSA9EI
fBzmnANWMAutbti1XR4KxCwbpBq/2zw+H5QfHw7wt8X7tqqG1q//8MuEXpiBmqnyfZq0Fq1BPsNM
GTGuU9ZifSp//fj/xbdbX3GUSpbBZeKXYwfrBL6pOt8rsa5at7yYNQoqu2ftcHf83Y3Y+7xWXfY4
dhQUnWjtgJt/WqtJJ5k2wv/cJ0kiCCBHKpvY5IZOtr9j1OQnMA2oSNIKEAc2YXFIhSJZ3dCqK7u2
3Sdll/51RtiUY42nHqMb9JcB9oCSbah4R7d0V/rzwmsq0qxmZ9MMVXpRWZmPWoWUy3QZqh28P5rx
slsjbbWblHb4MRsrY1dnPQHDtUkIhuc1B+4wdhJoNblGNtnPAcQ/KD2R2tGRbMMubom1xlhxhpZD
Y6KSn8DxwPRFDrbHC8gzBO+HeUvLwCrk8aninrxbcENui8rztiNh7jj7tVdjFQQaqh1vZgq1HZGe
2dZNuKlFq4MRjpNJRxAYEkDdiMFvXlpnCFQFOrDcz7ZO2Va7qrGBnGYdYMUSyitdssjaW27r4Sfm
M2hNFNPfvYMoc4qT1NxqdIfPPWTStH8W4ys+AWs/EArwmxfN+vVF8yjCsPpyL3R07us/r2VgsJ2v
FZzyKCi8w8e9xypQjVS9zmSbWiozS/3UtPARo0bZgbXMuE+b9RdY5/bW6wa4dBkxEliKXSCVRfKt
MDMLmEzrANRRwIxZQOGs4U8jn4lBOJHhO4YIdrB2JXaetWj3c63sC3/967N6OA2JeS9c1CZqclCS
CDigY1di5sp67zcNp8+HF7I/XijeYOoYNhr901Jn5yShEdbiLumWfZfMG1pEv3l7P2+eH9/CRWEo
fB33m/7pAXMLEzQC1rD4KYPgKGm/ws3imtHAIekHEPqzpv3uVvS5KOCbsncSj0OHfd02Pu1QQICd
DOSeu2truFwMv7qAmOCWsVtOLKHFSE+zRH+sOz0KbJISf9PW+qWlCnFlLZCJrKOzatFx+XlVzW0J
VbOsibl3GrAhU9bz2wb6kmXrNwSYdmz8wduz293Tdsj3IMflw1/vmh8KuB+P3I/PQIsc/IGHLnmF
0v+4S/PadO4awr3LnJyoqrntD6UNh23J9X7ZQCH2ye7Q+5dJX6IrHqR9BS072laD6d1pubtsE+ni
CCIydTfisXzWe5NH2fZUd0mzK3Ee3ioiOnFcu/w4A1nqLUiOC7dR7aMZo0oAiQJGW/nDteXGDT5G
rfhN8SVMfoaffkYKWFqmsM4xVMIC+VT8zcRQ2C1H6G7krbpQFhkbehMbgS9refbxQ/gY8a4hxLgX
fcIXGDxGgb/SZQtYOUDE7WVr0YsIrCSKD36ceFu3zjTea73HhWu+N2gxDprEDjV6+N3T2LoB1m6F
TZfKM/D0WGFbp0MBsHh7Z3IlU228rYJsizWnKSycYUHhU68z9krblQ1Jdt1qbMd3vsu7tr+a+C93
jSORWCTx7awJLXAiVVzPS/O4dJnFJjSeCTXyYW3oL3GbyEszdYdnra7e/nrJWL+ctDxOmvBoKl1a
waQC/bxkGt+P0oV70y7OO3ono9YFbiYv0ljdER4Y4Va1CX4byAZKnTkKTDpeQSYa75BjYd2Qfgv3
nPkyxmVes6ySyTk2d/2lnTOX8bK/nPO3OBdyJR9Pmg1pDmQC2PXE2ee6XPOa/XNueXqgD0j2BHlf
u9ZsK0R9ZhdoTv04FvO4g0l0X9KQ3uZL97vK5nNmlceewZ2bNxaqNC/wR/TbD6VNlg6zQztF7AhB
H08e6u+v5qQYgvHBI05QzwzH2hv2A5wjgIAlHvelTc6NDCDqbAM5zRLwcWVRlw/E7CLvSHntiF4Q
4NJEpu1M1bAwHSjaHeI4ohhYI+QwAjdPvSwYdc8IZ6IsgdEaaAnsOyWtZ1szis3su3dRkr5x1wEm
znzqHIyUe4gRbVzGVepdD9STYVJ4bejLgut4lTTbkqD0vUNvYG8z8tsxmGShS77l5BdW+NeL51+t
HSYXNk1v9r5fisJ5ShNmlKwdrG/vGCK86/Vd6cYmC0hHkb9p47q/nFxrkIWFQo1OLokXn8XM5Uiv
Sh8HdljkVFtC5fxnhGXJebNURqAvIKYsPcqugHQl56bXseF1lF+G4qFPsqWC91QUME18kn50AUDq
MloEzFFUPpND4lRWb9uZ91pmSF75s0FDTbgFKhgFXcbxYSreZsr297pvlxuzRsxntIv8btR1f4Br
ZDA5nKqLrNedEHpavEuQxD8oWXS3DPyjrWEm8qZJ0yWwTXQauW3Q4nKWNoRnJy8Rc/lHJrI3A86D
g5/P7ByLPwIaqNyLDgPIpdLZlvsmz2Hz8nGYmK7h8aV8EHD6t73kmNESwptASbvZrm4H3sJBy65M
vdbh5VX6VyuCAYmImXF2ktTazu9K2s6kDO1aHuQmcQ0nTOgFUYHyQiy/qQr+xWphkdCLWfXo6yn5
807TO06RlzGqWA+mOXsIz68D0xIsNRwnckKy31xAf/1+TBVRpFNicVEXn2/pTg6XSVtqARWspABp
eBuQzflHNEfeIVmIkP/rt8H4tbDk2vZha+XCyzDvc5C0h7ythaBr79AxWWEKcIQGi+dcwJEjS2PR
k/PJt9MwhlPc1GN36Hq2CwdOR1iXvPyuqhgFKDcKgNpmwEM4qHTJr5r4sQ5RgjHsm5YfJXXq7rbs
2a5FtR7uIuo4edLiWlT1y7xuIzEwNBTXLDrHKF7QL7Zh5qAKzSDGb2N6k/cYYvvj4niXhUzyHVOG
9xbP93ZR4j13ixcz4bNrQGB3sxct5/S1zNAYJxordXcPIoedSmPn/zham5xSq/Pi5BlFmRX6JYJ7
A5EvGhHeJh9W6j5hCYLLLPRzNdjDvnbW07TMEYM31CU5ELlgLIF06uu7SiB7hqxnnF+rhf0tl6zz
pWWJ513XH1AWc/bkbLt93rSPaZrDTak4M4uOD9S4LgG3FWe9ryVMAWa89v/4asF6x7Wq7WAucJuH
9j5uR1OBy0NasJnXUzdLzP5op7nLy8J2kRqKemCYFh7i1B+TQfcujZYB/ljwr/4Qe4fe5Q2tEv6I
HlNBVJGPx79G/I3me9h3JK5epQYqomqIas4FfkxNGNmV1JYFiLvRhyDs1lTTyD+SEcKzK4S3Lxbn
wZndbyV6XSiwtnnk7ZQXeGqskB2MVSxmbw/jjJIlpYz+eN19h8eH0pTvQD7MtvGpdKD5MkT3rYFL
O7+Oj9X+H/N9rt/oW80oJI2R9f79g18GHGo1Uf70L2EFr2O+Gb938+33fiyGv//Pf1i/1z/5//rF
v33/+Ft+Y+k0EJhwg6Cg/PfxUEGCfTONX7rkRwvnf/2X//BwuiQ9rYbl1bbHDuSsV8w/06GwYxqe
uapY1lnxDxgyS/8DJygtTWF71ipO4Pj708LJlxzsm4znqHcNWo7O/5eFc71+/VBB2+vgwWfs5/Mp
sJ59HoeOieOW5C3Ne0d17UPJfem5dY340jMj8O/gRKcvg6a/RrnRffc6q/qqxn7GEJAAfLR7BZRA
1l0Ib9V/7gxZn0kArVsDvuabKOLx6T+7zn5cZn//7xRUBqyOHgVX63+/GO+h8I7dy6eV+Od/9qeb
2PzDwnm2noQfgpd1wf3pJjb+4GpOq4u921mReCyTfxLx7D+EIMba5woJWsUy+dI/iXgmfD2fQ5VC
DC6ezt3+ny/k9T/WGO/yv2czfIyXf1iLlAEWzU7+QqiT6/D28/WjyoGp28YIZMCegzEn7khT3qGU
pAUj+X/mlhtv5JQUgehRqS/18H0yzSc6Yc+43vXbqKX6Fa16G2a4nTmXi3CYHOCVmkF01NBWd3mj
9+ergGxTe7BEF7ZdjpPshls6LSl8IIdqdWLEcXOFVpn+BFkJGGzEcw1MeecQplvb+veyARow08Qq
YoFgBbsTClrtzY6tK7CkJtmNWvuVgi+m2S6nA7ZdAsWwdvJdY/kVvPGBUuSCI0oCH1eolUsnvo61
yN9ijNJCnawlkg+z6gIrinU+ZPZy1miNcwFBnr5n49qETQPRfYz8+F5P8xfFGCDHiIPxf5iZr1Ok
h9k0RStai01/nHE+m/Z4ix9pn3e5fdFwiIGOInF+ieZ6G2NWyzetQfW+cccZGFImjPHdGP2rfo6d
0Ogs92ZtHwV+k+Cr7vP9jKCd5mtbXbpZjVcM7Oqrxbl8cOiUniW92Wy52oCbUr57zBGfQv2NndfB
mb92k58gs1vAKSuSREwfQ1hTWc3r6PjaZYTO6+irhnCuQWXbpRD25ZJ3447s5u+ZMai9Br+PjLiM
ZmzMxWzMDJMUsdojioKYkTxBy638tjtry8m89frlrWnwVtS0bE+KuPNnq56fCUtOULHOUHT8DCNX
r1/YbT6Ch7ATCgUtD3JZvKeVlx/c2v/qD+jTHckfZ0wxJztlEJAgS/2sdhEr8aeQoDddcp66xX3q
OPcuIOkzD0wjM5Ypve8jfEm5ywCt5z7M4CIubmHTEcdRypx+jG+FKl1D6hv7wbUQm7mxJi7HrH1i
vfrfJ53EF12ryqvFJHeX1IQylE1/H2kRMqIpdOoJzevSP2YL40mpS39PnNgqura/FNW0Zgv1t4Yg
vwmsebNxMqvflWM9POoxgTUknd7KmUS/KbsmhIw1y/sOlQ7KfC9Li+mdxCEORyqOGCmbbbcvmUkf
qyjlroRivbm2nakJDdKDtrDEi5OPUSys7Vgdwco0O4c1eIqHXp5Bs0q5sNJlLJKE7czv9wuQkFVe
l+CQ66xzatbsts9sb282JogL0T8acT/dlX4ZnynuEQfS5apgsB0U8Zm5z1NZPhZZTr5Z5UHvErMc
IL0OiLhHjajVupFhlJvtBTbX+GyZFVCZSHLqbwzRmdsx6r7X4H+3MRp37FWLf+UwlrqBWu1vmwlF
6QT2LBh65wwLtXXSu4jpcSQornwFUdAg/25uvPFEVByNDHDt34bZP6TDQnCycuuDp6+g4WYxbiIg
R9tRI8VnTkgywDaGvL2P3EA6cbLNB+WhD2289GAmK/ijLErSMjTd2fpKG5/m3ncexnh0D603R0+I
pSjtdC52QurZPiVo5IiWZT5vSQF7wJXTXpBs41ibBHfHbbEY2hXC9wXFU5E9OZX5BPR92NUErMQ9
kLSG9OJmkOZ32Rhy1T2qrZb21OK0Chg7TfVy5iUac+u+eU3FqL5LSPAnt7HUGVw8dRgGUvXgwohA
I4NtZyzxk2cDoMcVeo5uydy6zmaIMcohQIarNFt14Gnt+UR0Im9uamXbciLquZGJe77mFFyrJWou
ImPITgnRmUENKXp0Urkv7aF9AuE3bkwmyldDS/xwMuMMGFNUXGU/8zizJXuQPh+jUPNyGyXLzSSq
cmt6OETrWaXHJhtvOIc0dF4R9hddxK8d8vCDUWj38dTq4WJBiK/NajgBChY07ZeUsGOSfiszvZi8
BIF4bNc3ItPpCoEgx2MHOVigzNkg+YtoCBkzzTBoGUeaeeTXEwUB2tgr9zqoffTAK+29hEEalcjc
pWuxC6fiO5aCaus7hREQ8noDRfhbanqIdDLMsbZPeMqkkwiTy4zsgLFfQjlGbC8RM4i6ih6RrHAq
rp+B5pVFPBoOunrwzSdP8jYXoINClFn+JcJ9bLdgw5mk5VasXjUsuDD36Kfdm433LvrsslQjuy/2
QJCAIbGmJ0kluplkbgG09xJ1aypC/KSXaxuhZbcussVLV3eyx4aiNWxN+BL+kjyWlbMXmiq2ZGd0
FcQb/wtCBpRJfvNWTywopy/uZZu7DK5nJKaFfrXI5bL02zngtMsesHOixtM0P+jW3zTZP9HOkjDw
vZKth6j0t8pckHDXX6VrRjxUcIRhYbpJ6HLv2jBYT88wul4zpewuPT1mvow2JDUcQHQkCgZ1Jc2t
NyI47ggbwEDgklEg8+6efs2wXXrUWw6pbAdrTZLU2IUQQ28BLIbOIF5nkvuULd5IKwMLMcChTy3x
j37sf+xa9d+53DWcVdr/78vd/92N1cu35KX4279K56Ve/sdf8Gfh6/4BzZlSlbBkAZJpRfr938IX
BgNvlDDWsveHK5jp/0Evk3BrBE9wd5DW/Vfd6/yBipakSP46puAOmrtPde5f1b0MdX6+g6H/8vH2
QusBwgG++jPXqo3LZk5pCB67lFDTw7j0+cntxThsySIZ5s00jUV2KIuqGTcudcawSb1qbMnuS8wj
moQsdAyzOy5JJZxLQ4dOQJWc8k/0/OmXJW2A3cYe9IJQKzvOwdoBMsABqIdoKaz4qhaiTA+aPTdf
nEJnG6qNlOwiOqkxM0zAu14I/sd97AmE3RmDC7+URLxQnxVpMKlnE+Az53kYMf5BK0scHHB0k2zG
YFG+uvGNMUsPxOLJJTCJEzMP7URmeoclB9enxOR+TVkB2tNuGmz3s+D2WRF1fUOPvYk2ecuBvTEy
xfnSai0AaIuM8Pck1WsiBvDfDFvb1uzbKolsWCBRGT+3sDPQ83vR/I2NfrhusiJa3W4Vm0jWgKm1
Olu+JFk/HYUnSjQFjZN+QXPfH7rIpmmqal1Ho+V0W0WY69EwBhylFfMCwgBIsNhYGMXvB8ecn5Hu
ecOmWsxoQL1bc357LqMaa+lyJv5zVoqw6V3r0iwNRTbCop1bZYEdbLHT5cpKy9G4M+kPwkS15zbe
QXG0/Cc5VO2RbL7eCAsfjmuwVLHZ7meCW+uCmNyhS49t3wv95K3PJQ/bxepJ38SD7t33WPPXXjDK
2gh6zzO6U+rOWa4PKzmOQ0L9VDUq5K+xzy3fbg9e7pXzyQDgEAelm0jjFLseql/NBRycqazdGlEF
LnnUp9sh1d+zuZ3DKsfCougxARxHmcP83tx0rWHCSaA/IInjuKItygllkT8xL/awS3PuTASITAJO
nKPwP/qje4eo5agazYAqwwXoTCvGMrSz6I62dsxtSj6ZjcVUifyTjvWBmUq8GWV5rGR3VFNc7bVC
L1ddnRms/tHQQjxxGZtWdeawbG5Lq9GODkcXWQY2jw5UMlVEuQJ+mrPRQegda3bgeCBqlsi7ZDgE
+9CG11fJsr0oEjDspm4nb7bsi71nV+VTOojqSlq5OIxyBVj4NXWqn4wbIfv4RLKAGwJNrm/dzq6v
0LCijc7FEi6oG1czjx49xMV0R5YZeMMhj4/zqBaYym531jgJ8m6/jrakVmobomdhEWXWXVsbOc3q
GFZTbEY7Jyrg11Yq3+BlMTYyYoxrDONlizaX6jZhyp3NYrwvkuZaNh2uAn0hfRNvP5OLZDhFRI7R
IZ4H+sS4aQSnfy1MWohdEM/ylglhgYFOu6uq5vs4ptc52vaNiEADFMMwBFXWuydOxfiZZEJMUnwF
XXFePaOkadiMrHtbsv5nmHSijN4KA27yWPnXdDn1711GRiNV+XnjuCOCEmcAWALmusund7cazkfE
q0GrNH7zjVUG5CEuGqZMokCKkWSMSAD6IlsavBeDn2Wu+4ss0VyAHGURMGSdSLRx8UHOYnnW+Ny7
LIsWZmJkJ1tWpi6p3XDjepq6w9t55wxRdlaI0sUPX0gmc50bevbEFdKaqpuuT/vQcAkeQoa7XOEZ
GW1o0ZM4JMQugVHR5Lh1MkC/AXkg8XYuWmLb9MicH9OMCo8YKXXl+6SqOETyhX4ixLeh7d6b1rK2
+ui1Z5MTWbuEPLaQgSoRhLksrwUFNbST3jybcOW91k1V7XTmhvzwgNav7UGPMUZC8WUlsBPSmetD
Mbfek/LN+K3JJTbQH07VP7s0f6vG8ppc0aH/X//D+RBQ/tSVAUC3qul19LfryGadxP0wEq3JGEqy
RE+OntnLYUviculsh7SeTz3+/gdVDzZ7XI2rW1ntUhKRLav7qtVmJteF8TbSXcguULgYBvdPgX7c
BK9K0cxvH+O0wTGldAUPOXEj2jeIa0vw2J6RHMVYeuo02UUH9Thf1CM5g/ntDAHCKpDWOFKcN+ni
XS7LmF8nXsIW1TZRj83ZsiCKm0P/iid1bYonzlNO0hzuxHzGTuXCitqATfTw3LtYxP2ImGal3Hk/
sr+fL6TI7IoE6/9i0b5B9exz0UG45Jn01a0Cegej3eERzGWzdUBGQ0hDxMQYAYLqQB2CAFgQQTlx
bg1ejQoKG1ngKOC1B8/pNIKXpcEocI+BEGbmBPbk0OmzKC9cYk5Dn2SSDWpH7Tvumvms7037WHCf
W4LO1rXbPHeacKoHcSrn3rrurSS+a9XMtaVjdpOCGTaqZcUTZUZ94uIsyM7TvBP2RPFUaY21pZpv
oXa3CJOHqicGCbFqoyfDzoq9u0R4VdBD58nmc+kPL6QM78cEd7iJHuqqyV6lZIJJxtZFbTBbEohM
tqgB+9tEz2F21Dw46g3isHU8LaiatAP3tfSFUQkXNFj/m9GVZ4NWcYcY06skKhOMt5ZzLdPk4CKM
OXKs5Mz/HRK43YZ4TTjo7XFxR+Y+c9NLcukAEnCbrZ6zGZG3bjavk0pE0HU2rIgF/JHB2jy1bmvc
pbH45iITv625AbzjIBiv+kH08U7zkl4LPIZly9EbDZtgDTKjqrditptntDjoE7zc9eGb2lJcNUvD
RcGdhJie/GUyxq1f6s3LjEfiC6Fb9nInIs3kvo5DhtY4krIvBEElV14zWIQWVc6ryiL6kY1EyRXD
9n9lzNZjMXakCiqDfGNfA/nsJi6wHHKz7iyCVb9ZKN83uemXd2Y1jdxpEMfuBcETQdGO4pKAj+5y
rEdfopOt4q+i9OJb3R7syyJjv2lbxTk/qnjr2ORQOI7m3bdMmQnStZwXqlquXci6Y+Og9LY4SxUE
e36bAEoJq9byW1W1SgVIDK005Nqa6msEIb4km4KjD9nsaIfmxEBvY3YsXGvdMrYBmtX4qhxin8dp
Zhz7pDWHqHfbW1Jty6dVy/OdAN3xQOlFb5dGAHo6gixJ20Blx4sw0owgtJ3dzwN0Eir00o+OwC+f
z7l1VdulvCW00n8mkc24T0ubWTXhPbeLllPyWHpX3fEx8ntjWfjttilH02IX+pnjKUkWkS2Ac3m9
e5HkJDUHnd+KEGZiH5qd+WWGUnGWuAbOdX3Osy/FkLrPc6TeZTNqemAYUh4MvdqZtJbZsUQm9nk+
T1/xxXSkOU9YUoD8euULXCF5ZzSF/RxNLtkPZimjhkaL6aWbFHjIgam89XXJYThxKGlfSFXJblMj
8l+avp3uDWLzLjIETznyKZOUPapwmNiZLosQ/Y9JZ5hUyV1qLc630bGzQ6OR5RVaaJWmUIw5zRGj
RrAT2NMwf9W9TrvC3QSHpSI+2t+YVZSfa3bWXtqjq7Y6gRpvOr0hLHlD7z0xLe3WqY+pWed1bsbc
NEw9fjZHNZMr0ExpGTRahyp14LD4wuy+vBPKy48qAvthx/jFYCDYCBDsqAIK6FOJbZT0+zM2PTig
+iynYkvfpZw3YlLmV/qRc36YbJW8zlnNwJKIcnnZZMuwac0IgEGRu/1y7lFj60ZD4Pg8sb3sLDW4
b4wSjYsodcazJCO9d48mcHkE2WHSjBzIMhDxpD1UvUiuB6fyXuvJGO6gqSDwWJckl6d8KlgEMS9h
CU+dV75ljQQduoALYAVgheFEcf+ZShVvhiFmCMGcLr7Gtr3cD3qqneZsYrN39QS70rQU2vsw2gRY
9yU9bchHurhafNrBHBmWvGyBjHxZEst6ReIxw0fJzPY7iQ750WidKA9qRL7P1YRqaJfjDwTHadvv
ZirlFnd2QbjokNLCalN3CiPCDIiIzfL2kfz1RQVaNZUhIn6vJjnTo/2SezOjBa2f0Fkmy3Ded5l/
Qiji3/J8qis1GFSdTt99KVtFjyeyKkj5FC8NESOEZxNISEJY6Q2MDyItFaFBCOuxszW1t0p2gG0m
GF0HGUaBeJM1U30CuJWextSMDy1JdN5GMQw5dBUs8aBwCwkSKmOcEyT0Kutt1Q3+I8AOIoRE7T4Q
2Ti/co8h1Z6wPNvetNXszCwF0i67mczPgMHEdD136plZ6p3UhvaeqFUCbkZ8Fyeoenp9LfMpOcjF
FC9gl1y+NBfDFdHh07EVCu7zZPbPY2v171Ose+VWU7V3VxP5ebfYWfw4q4KTiMTE5EgiQoKDkfjD
8xgwSL6jENYu4xpP6W4k0/eYMN1HrmUlD510zLO5sog+zGEAZuCwgciTLumpK8J7upPrrUHFBDnB
iyunDS7s/ug60vsCdXW66yi3pq0B+unIVcmJd8ZkFUf8z2W3o7dZbpeR1Ql3Zq7dU2ugfdti4daD
xZPzXm+V9SLnqjtCg6uvdCOfGHu4M4iHzlak1dgNFViCMCTe+K02XWsd2UdpIdQ3l/bWW9wU5HaP
pMR1QF/kWrGyT7xwnSVAkSu8GzCia7ey0mjET0K5lEXZ/BgrQmU3PGI/BUNDL5Wg0ATOIoMMyt+W
F5tkRLlYW8312mO2jMO9LYrMgMc3oSoi/Zd0oxiS2gb5fXvpafa0R0C5srvG6bmprSg/lVrpsIa7
dd9sUn22tuznFsg85ILXhCBQBUhuwul+au2Z+sKtF5iDVEWYEMw6xDmrWMyFv2yadoi/Ld1infee
l+shFv+F2QAJmvG2RPV5juel1TeWIrvlTBVSi48AR7skhNszf218yjadLMWHqfXb7yJX3lHX/OpJ
iDx59Cs5zhtp6mqvdM041gZiFseZxuNcMdpZIN6854aauRFjWQM8VFbFFLS9RxSxEfW7YRLaniOp
3aLv4h6ncxkrTZdrfkwzhcGRK77Z+JRXpkoj7hffwHVlcomMfefMRVO+mwtEfOAYlzs5zfpVQXdm
a2p5vfGjfiLGasrq297xo2/10uBVFl17V+jTzJnd9+OOAZDGfXGw0tuFphQi5aR4sn1NXhXkLd3X
jVvhxVn6jGq21k+pi7vJrxrSFQtdnEle+Pt5oPTvtGI+xO4EgDidqvfac6uTMDtxz7KnEs7sMwNF
0XEyouE5HqR9XjrGcu4uBu49YY1HnNEw8AbCQM283fSuuKMm726wzJKRin7qIhmt+pA7qfNF5zf3
GlkZKThSFzvyJrtttBj5RTNW6XVPKCdtKnuDh7QkKNSkz9BHZvzu2clDhOHqYIsmLLvCwuHkK0aT
WhzOlugu4MB98SVsyDbv1d5P/C5kegsxzcHrgWTpyWfDQtrTqKPo02+Gy/iFbgUI4S5rNoMFslGY
45mZROmBiI/iPPIyco2qJA1iYyq+4sSsLheb6E+f+fA68ewPmAeGA/pZgl8Gcnj4efqdm9rWFg+Y
X3N4/vU17hdFur4qSXRG67ZhAyt3PimlNbbfSrGRHE2ZmpSda5XmWXV81ajKVoFgCc0BKnBj04wW
CNR5dI/gkqPf0kZ+ERnj8XWw1qy9Vf7P8j4BYrsxAuZDutBxJsEzk/3wiixJwWWVjDlOHoMa5zrX
QZWFQCgVs8ma+x+0vwFprOT9Tmz5qCZw+09yNrt4V2Y+/TMrEWX74gjcmFu718RTCwHpGkEzT96x
imevJXXG+mjIlUoar25FPHFgcmt8ov1BBtAwWHemVNq3LokovEcvfnB1a1xz+OL0eUgZqLLF2Ze+
ntIUAHb35HUxCyVNphtCvjIImmAXwnnR83Owb93WmmuLQsKKTwrkUTBgFbl13XI+x9dpXY5FzHFY
iWJnTcWzadX6zWDGZ64yvMBcm5bu2r5sPjqZuPLZITW8tklIy1XcNh9tz/ijBYrRhhTrj8aoabfu
Gz5n73oSeXe7xIvxhImrbTctEFDaX2vBPg1ihO0cM2tMEa89wEhlnRYf1b3xUen7H1U/YV/cAFKZ
z99E1bF3oj48ZR/3BGOorUOELXszwKkxsfGs1wm6Sc4L8vGCyYvvHbXIfECcNh6bqYtxJNMJzRey
oLXMr1etOHcWdOBcX7z1JlOudxoAZ/zres8h6mFIQm/hfM7qGW6iobgRrXcjb70lJQR5bLumFHvm
0fQo145owG6ivRYfl6xpvW8RmeO8+usdzFxvY7NGe7uFEDgH9HK4rjV+Yi53DlKSL8Ismhfyk3SG
fLBgJ1I0Wh6SqAtxNSzcL/eKODKcWn7bPHdR41RvWuKMaZiIMX4fLJAR13/9vpq/WOJptwC0B81i
Mp9AJbYKt35ou4yVk0l4geMxpda6bLQpBhyattu+s/Ijg1Tv2HpdqYKIOWY4dfXJK+roguEyvCDN
UdCHhrilm7ZoMUMurWo2VZmrW249dbW16ZM+Ixdu5CZOrfbOViD2GpM0rXhOVei40wmTF3oJ1YNx
I/v2wgBmMjBQmKJveO6sHbh05+gkbX4D5Xqipe+QAegYd42VYCOLrsGDA8aKYsTw1v8h77ya40bS
LPqLoEh44LV8sQyLVqJeEJTLhEfCA79+D9Qz090aE9Nvu7ER/aamKLKANPe799xoZwr5xDtuXyE0
XbiYgcYyHNGz4gk6ZtDrOrZsHXgHFWsX3qHHAZW9Qxz6ys9unpeIG3l5clSl48pnYj+UNYM83VKY
hGOBurUB7Q0e8ZXFRd+CugGGyUmm3bhoy3S84Drqt+6YpXezFrledyY0PS7gVfHN7xos8ylT/C5z
25sV9jTIySHalHbSL7mObBNCBsrhZPnRm2Kq8Da69HGsB9q3d1Gbqn0MIi1l13V8ZhZJSzXjJA9F
4PLKOd5AXblbw5Wb8qT/lkchjZQZ1Yh7bsJFvBmbcFpCdgS88N704cHDZfAQ9aH6ksNc3be+jLdL
l/PjiDKCUhBThRS7/V2W4Eq3RGxekRZnnkoOnVkSjicCisbnEA73lr+uxZsbFI9pnAQWOm+lX8QU
8QaA+Fn1eFBoHWLujrOpY0ub3X43Qfl46y0zfjZw8bzqhOAZ7COh1mWvWZrGIXmYm3bpm3MwbLBK
rR0fNww1hxVJfOCRvjKTl0I0wAhSFZI4Bu3j3MW2oB03b73oDJ5C7D2f2T43zcQ+V3n5FGL5ITmA
QIFjip2IYI3z4Bm1vAwz3dXIO6KLVgm4ouBWpEt1cbUMkcyf8ySzHTvqzX/OmcQycqpRdWf8xMsk
KmoyplJhPCXAbQvri/lzahUyv7J+TrIaYgY7zL/+a/Zz0lXQhkZTaDws+DxW7wL7Qlq9SdS9+GAT
GZHXuapMsV32sW9ON4w1t28roFF5mbYli5l4VdU4R1bcDGzvAjG8PtYZ1PFhcM2jtnTLuVo7XK67
cEZqggucJock8Kg0nxAw3E0dm+XJ7mzOE/qnpjsu8i5dap90UBGrbOUzkOZPVETxglgJkyE/vtPR
THq6D/1dZZbd8q8Gscmc9DQqRkSNUbqHKp0aHIT/mLr+C30Yy+Af/aMEc00OFixSDu49QkPLbPMP
y5RAmU+RRP1jKAH3hfcai0PVP/z8Jn9pEP7ftRs/lzn//VqA/L/WX7wcjv7x2/6nzpjru3xfGmJ+
8XTiS16+7m+jbfeDxVmHeB5WT8tzPT6Av4227Z9uzwVzREMLZxWG3n/3dHoYN5l7U+MF/AHaye/2
Ysv9YBLUxKlhgYrir/T/ymwbl/Ovzwd4derywGDRCMCknH/EH58P0MGW6Dl2HaeYasjCf5d+HK5i
2IdX5UzROc46FzBUTndT6m1cOKZ7LcbsfXRc/5IEdHGMTbBPXAgYnL9xqGGqc4rgRRKy3mR1iCGy
W2ABE0TKIXX6h56Xn8O/zey26rKnRpF8xsZcHwLlvHHcXFuNd5kaFKbAZQMHtAjKKHroyK57zDO2
Io1A7ybRy6iiYMcVn8b13D3n9uS9+zT27vs03DYlU+A0COdLls/5uh3afJWR+EB1J/5jBMNuaHoq
kRNKip2AARZjTXujaZZEffIXJKXBQX940MrBMRl+G+jVHKr8zDx4OzXWIyGRU1lXcs04ZA3H8Ydr
xuOdoSIa+Oo0mPeWqp9ifrf3FPOVMJmNas8a8DIKfGzGcO5cfplhW9nnZOJHju306hRQ1gwk0aLS
F4rdm3Ugynwfj+1XvHbzNXptQthOjYb2TVfOnWOqjENTiwA7bZCctxnzL51Tq24GxY/WIQwZeqSe
bHMzBh7kzeRZh/KoKgxftY/wDERyRb6es9+cHIypezAstyfv0owvXTy7R9vPab+yxk2cllzdGVmM
vpaHvJTqibTOo7L7L5GLlUo2TrYbxykgHZ079y63rlXGvryaIibC5J2oL2mJU5CXcI8WU5ZnOy8f
7VQ7Chut022SXE1PIotmJNqmrfYEoeT96FFW7b4Am4ULl3jFbagNYw3V6iKFc68SCmtT76PMJnbV
ih2zG519MtRnWTdHAwS0wOY2SBCqyOuTO8V8VM21rtsfafHEYZsyY2ZpB9evsvWE8ZYh39YZ+7Ug
q7HSoW2so5EKgcrS16kXZ/oee/Ry6uuDgLjWdBwb8RLlrxxMcfwqcoajt3zv5KiFsaqzSrxAGo7X
wdS7jJUZz+wKVTRrZlrmXjNfK1zz3UG7O81m+INzwcVO55UjcnpT9c1uA2ZhyQaJ97GelfnWI/4J
cGbx1qEW5Cn0COxHsLlX1uS7mHVr4x7p0r0hGzLIDxnqFmTzuJ7o7gQeO27XzeR6t0zb1Z0dNdMp
cergHcVBkVwq5AlabXAszLo7UgqTfUxscKXMpZr4rCwqr1Ui68Pk1/K58bmi8Kg2R25E0xtHOrhi
eihvyrP7o+8X2WdsYD6qHdG5TKQprsnCOymvDE/kXLyd6Q3DrjVNBFRjHi957+TPcxuPz+CCu7sE
Kfwlr5Ffdc/dcVVXYf3eYgndaFP1oHJD90ImozqnfTA8MLi2r645d3ct/Nw3M8k6xjDMuAAkeycG
7umxVqF7P9el+m47Ywe6kpacb6SZ8oFxIL91DrbxJanC4exGWXvKosDE0Nj34hYEo3gc7F5foSyb
5zwt1QvWwfCiQyQJHhX/bBuDOOdO2TYcKIhZAVj193SGZ9eQH3CjWrIySUaP/OEPu8y/2NNtsazK
v8988fkD03Eo1GLhxvlPGPjPq3aatn5pNzNymJTZtXLqsj8mTd9cKR4u8M1CuKvMYVhNFtMwahTp
XmaswQkbScVpuxevb4xdZk8cdPxkGVQ3ZgnANBY7+guaNYK5ZHTWAXSCw+TevEIkp1bkVz/yyBbr
cL5hUceSFwXZZQLGjbVEvbhIiOiaNFYDocrXePfdlZrc57pWatV1Q37vdRLMwjB10XM1DJZBsdXE
3LTxZ11sVMFfvMK7iPXWY+5ACI+s7rqJo37cixzY/LZH93tjCKbjje5luXVns3iB5hu8AeW6a7IW
nr4FpdU3QBm3xXqyvU1Fs99at36xiUVGfiundcumz3LK8U10nf1Yje1ZVfVTREsGMVLRYs5yMbrE
I76eKKYkI05XNtzdtT8kE43E+amZnf4U1eXZj3n943hC7GJsORQUOCddPW1z3PArPXjyq+rdgXHb
4OwMdGkod557LTnrssaY2c5XafJYzZ7cVJ3Mr908+ItFikdpxqO+mskEnTFW+eepS5oziKvw0rlC
vSghrbOMPX1NSQ49luSQbioFJrEGh9Ke+KzHM0J1fBkEyhhqE887dtHmG6XLvbOyfVt9JwRdrMc6
Gnf18qZMyzsTLG+PtbxH3fJGZU3A9CYa7WvKCOOh0rE+O6Jgf1ZNjzLFVgloqiFAniNjU/jE2GR5
g8PlXabbGZq/nxbPROjGC74/eax6e9jpZR0gFxmepnnwTpVTputeF8tzoIMn9Mnsc7ysJvOyrszL
CuMsa427rDrtsv7My0oUL2tSaFTimAYmfBbpsWSNZGw/1sFM22+aL9SDQZ6ytqMKu/WC9ySzplMV
GYQdEERuKqdeaaFPdScOIN5XPORqP5K93PVV7N34v437TktvbZYwReIYlsV6IqxRgHusaXJo5pAT
Shqa/NhBmKK7w3FNBi7NwJ82tI54+dqUdj3BdVB5fy38JFgLV7tEJDFrzxsrHN3wgMMEo0uBn7X6
SMaopmzcTauWfL6dtodS1r08W5mQmJ4bFNVV1wZ9h4mpoJKg1jH0ICENIv+BUpPchNOoJRUN7sx+
zcVT4EpYfLFVkZQgdFv73jZ66xLI0X0YDd/cZaFNBTWx08eGTu0Ua1yUiz09Jlm2pUWdS2xEggSD
R0WChGz6sAlC5JdV7c/K2HZ5xgkIVzet5z7L5qc5gwHM9bAwWVumJAl5xExtwidsrceUm5WmpOHB
jybch0kybEUzVXhBikMDNZKbefvS9mdvBjsiI3EhHFddHGD4K4tUNgq2zRSojqO18Dtu/BHSE10z
4yYvq2FlOz65mz75TMh12E3J8NUsbL0mFYctbbJuETOZK8Ux1prJ2pfY/4IlKLybLNInnj9Zm75l
G7BLiMaJL/a+Kh8wcD0mJWGDMQtuZgRFSOW+t5Y5elunHf/UeqN3QNeBHxbbd7T9PDL8Zc+LTfts
sP9vxVx9zZrSWD4jRnFTRS2HGm5s5y+zWcU/XEarx6ajuX7IyvmECjysRiw7r2Ygpk1i6ulHWGLz
XAPMrux1U7ciAd8Q+/I3H9FfusL968vZn1zK/90t7/9WdG+5r5Fv//f3vMt3iZH5fXr/Fxc9vvAf
4T3f5a7m4VTmRveTvvjbRS8IPwQmET28yuTBfvuT3y96NJNhLwYP6iHDhlzf/x7ecz8suDz4VnCR
QziUf+2iZ//K+VniowgBdJUGuMR851e9krgoXlrfO9Rh7ciDpVM0L+hGY012L1bfxjTL7niex+ro
2l735JhTILfeYCbzDjuV/aITbolF61G+UmGGGwlXGDAa3KEd9T43lP0SNjhpKToWjAgNtDrbLfDy
+yC1OhqfnCQ8NGUZwEybAl2dhVEyYwDctnZdqSRTbmSTxqUXE6ZW1q67zjSeMSfrU9D53ScQVxkV
SkG4NQVN37oIHgUUMOxS4krvZr/Cy6eh6jV9/VXjf0F2JgajWf6kPIuEHgfOJuZ8dlVTUdTjcCYh
wQx5Y87yg9/V+b22YusQuQElLe5sHyZ4iQck+wViNo1Yb7PJexiUHT4HJSC/wUyHS0U11jqZ8n5l
h7Zg3pTTEdyFDC6UR4rDsSrqKIOhe4zKsfJXuikfTfasYD1U8URjkcVM6GyxAhGfKob+QfcZk3VZ
EM8667hNhn0U9D2I1SGTKJiFHuWmMaPF12OQeVnh22n7nTQnpKmsx/f1MENQne5rGXjFg4kfDW+m
0FF9SBOjjrj9BeZ87ESLGhz1Q8g4K4nMftt1TGYIb6jsE5U62n1g7NxaRIW47jAgJ87O9clKp5U9
N323i7ym3/utUN9EWUl/nVd5uC/qznx1wWjWUAukXFBoP0L0zs4Y9I2GeOtc1lPFUUoYVOAF/SfG
iOMKx+0NEoe3Ymdp8XGMOVehetjkk44fOHlxIhVURpQgzaCLukxzG6dovtl57x9Ky1DxPu7n2Nxk
pdAbrHfBM3swFrTJJz+1yeM2eKJCYzrTHAbLA2V2Ezdt9tTSmbPpbHwgDPPUHgRIeSd8gkiQHOVW
xMEdx7hlWmTOzxFOiF2vS/cOoZvQVmLssXqIexl067RsmqfJoRlHmV5zb0gzos1gkDlqI9cNvJHU
p1C67ecrjbwv9yWJmzO6ToA5FQ1kIkl2rrVjYhdOnPiZp7U7lWhFsOIs8lBwZeLkOMl0qGiT6zYI
EN4qo7D6iC8mvQ+DqH9r+Wwjqr0js1ljqCCcOg3jCKTRGFDt62V8m/uvYxznD3oq9yUWga0OxfyK
4B1/cy2DvtnAr57yTjZse13C730JnCcY5fyQLGFmzN2laqfvZddV+aqarHwbjFF7gPyf7LzaN9JP
yPje01BO2JhNlfqfqwmPz1bknnNcBvfoA2NHfJaIlGdY3dbtdbcTutZ7nNfDuh5d5H7TJhY2Jjh2
a5kdstC4EwjSrDD5eCHw0X2KREPaqpHZTYa2vmuqpLjTkwrvpa2jd2foKTT968rm/99tcQFM/ftt
cfOPwmwcKP+8NS5f/NvW6JNDN8HsL/Qhj0H3QpP5bWv0xQe2RIKhjJp9x/vZn/33rRHEgo0gCeYc
tjSIev66v2+N4oONw45QEExA/LpYnv9CvidcJPDfL9P8m4IAXZwIDmNvWo5/Xrb/IJFXtQGEtTAd
gOPxj873rn7t7isvfE4iliuRkPKYkDF74rwYlugn9d64gOy78LMaOpLvhjyRY3xNO28PhXhnUlSY
nMHu3rU0Eo9+xkm2v9BW8qotrA2t3FWzu0/mmkzyulTRlizmyazXXhfscCtvEwjyWVIf8CMcU89+
8Gr36nr2ftDOgxOZMCxXSyXBKNVuqkI4tvopMKqneaQEg+3WUeU6xaKdtV/m7GmSxA1yjKmjt/Od
4eJXAY6O/GxWzrVwxtfKhnPYFjder2010Qmce5RStXBdoueZYhnitM5z48lDPST3eeQwBFNhjuu3
PswRklgis4dW+ge7arDQuP3ntg6fcTV+Shx+ZSh1dNV5R8ZvW+aTXxlMcv7Pzw4r0B+evH8hifw6
jv3tQ1xGshgW4EUGv7jgJxhkjRKGQ0WG3mAR/MkhlYO+d6fp3q8BrSpFanz2twZ1Pz2fzH/+Bzi/
nK/IonHCAkCLxI/WD9z+z5IM2gXHAotec8qfGEDF56Crd6PgVthPLrN1Zd07Uertu2i+JXp+7YvY
PrvEso+5h67rr75PGNV2s1d7tLTZ8c43o3wblfN5zOoDtlmuFYE0joLEcj43LJJulm/2mEaY49Vw
Eihk2A5g0Sll89hyIvcQhbiyRtRYrPtcWBrr64STakXM6aET8X5u0Kx49z7a2jpBLrgESXcqMFne
lbqSp7++kP53l4d/+3/9b5wSsWSAlxb/kfyB3eG9bePmn0A0v3/xb+tk4HxwsABRgRLY3GzF77Oi
QHwApEYFKLxh1tGfU6S/r5POB1OwuEKJAdyMdef3HKTpf+CcvzRFEO7xfN+3/8o6CeDml4XSw2cG
gSa0AmuByP2KCoXXRn1g0lP26pTK2o1mUxMxI2OznkIidlgNsaNtAedxMu1lxLjF96tu3jijNRqL
aQBkKhOvc8HZeVV2pGdWXUSOi1x09pTGg/HsmpE6yrFcSp0KdapzX8hd7fr5HqtsuPVtFuSmaNS3
3g5mtGtWKAXuEsx7NBJJAGrJLDoCjnuSZuFgzbU8KA489A/eWOYk4OYn2dmMr2HF53kXrKwe30sX
1/VJBRzbR7YHazdxzknR/yV5Kj+bcNUWwKeuRGqIeXfZLJ4iN84+2eMon0oLu4YnLCrQgklepgy0
KGSAfv6CJdX9PFLWhjkZMMxAgInegPToJhbmzJquhnWZmKT0SD8Wt7FpsvtqTpNtQUHWqrDGkxQt
Vulc0Q5h1xzGRSbXTgdMi4Co+WVx4BPmKTuCffRPpmetvPTL4JGAIBOahd9kacgXi1OmwgjMiB93
u2GZG2n1xablIL0N7dRZCTseV9RSWHcJHwBQFzz/3A76E4HQ1ylmyrDxrZHw0NwU4zpLClGu51EX
2Lzm1F46Ev1L5w3Je1w4+XdhRcAo6n6qDFzCPYwCEU7NGXMkErnbGJhV8hlYZNi3clx7BTN2LjKE
Ji1vkBc6ZcK7ERPjm2qihrJoeJIC7kNcaiRLCtDI5qhPnJgdyS3CUge74fuYk130m7QeAsprJRSZ
xc9R4DqhNwmOGcjMAxp89w2QxKB2NjG0Qxcb4d7vfJRhS3oTvOCO0I9vB8TB8MU0Ly1R4BumDOcc
eV3zrApVvkvgzcnKI/sZntjybBKRwVh91bk7vTWhKs2Ny6CTW1pSV5/NjhDnajaX2q4kKeonOqXC
mwPmMdrM1RCeE24Ot1xpzF9BoUx652hJfODWNr42DjFg6APC+A6d0QVxYJr1J8dP8y8edLE9SWH+
vLTC4bkpCjsnkJYjR9ZtoqYDk0qi+72hCsA0wESoDQHJwhWdttZheA29oXp023I+2ohjvLepPiB7
GjhpKg9JTTB83mhCoHodCSv9Inm5li+N2MecOsv0QcRUx26d3guOvYtMmgFRQLJ0slF8lHoSn5ZL
0gQkp5wXKZsPMMBJU+7tKXDRGzQ1Oo2oB3OF2CsPc6OIOEXe9yiz5rdBjluTinbkavtr2Yc0J4o0
qb+4/kiCEOfk+Db2SbHRnRqhUTfDMzaO6qxoED+ktIfdFRQkgkyRLX/sx1xzyCB9nBsfaoxsMMNa
dFVgYm/LO1/MpBsZGhOGIluCodLGhjIG0QEo355/97wtmRJyUhitFaapet9pcKaz5UevoZUA12mZ
zwAEDL21YbK3EhetK73m6qc3FJbSguHMsTDX+TDm5dYCBJGjCuj4e9JV6mX2lTqJ1EzlFk3WylaG
Yw2fDF4UWi8YjnerVOvuLbcTVfOKtIa5SuOZV3vOXX0jjp5P9NAnYBTyucKkblQtmQ+XhYWrfHfV
Op0wqxRleWzzpvnULEQSRh/fUkoSMdHVrNN9ljGYC9MFItEZBCXmEPdRayXgLanZWIVUcX90Ilmf
7UipN5NJEQKMm8/bzoL8wgOL3kkgORfxWuvZ/0q8JjtIjnlCxw5R4ALcGFsJmrLExv3NMST6rFF3
THyKdhgucddJ9HdXTi6iBiE12t67QK2dISGUx8/p+YcuzFSwahJp2ptUhM33yWlKum9Hf4Vrml3G
ofOszmt9F3lxge5E5BLKOYTFTT5kabsnXt2oQ0kPyc6JvVYc8rlgwpXAkIixjHmuxktKIpifXjjN
hkdT/xhpk2F8UVobs8GKvcLnyOIUZsVTYfC6gVSMx002aP0W+w24TrgaAWXVtfWK6oAp3tOpdRaq
tF4wyetPAIuDuyDJJNqB35J3DCpp39NtXdx7CP4vemJIwrLh8fj4TZ/ZnOvNNN80cX+Z/NZbdAtH
viKFiXwzlr75Q2gah078C5UN9sglCamCKXhriSrSkZVZzYX31s0PkWNRdF0PrvfM2lSf+zxMrkNU
Wjs7YHYzRtBsqLqoZwz6RmwoauUzc2foMsaXEPkfp0QMqwx80X2ahGKNMkS57VDGN87fxVrNpslR
1isZkCj92kmRvlShXW3MqXurhG8/t3iGbymVA5suTeyDdnPxTBrC+E5B+RitLGlR0GqX9hFWC4wW
0ifRcy4kHrUyfi5LYdyicqJ3bipogupVkt6MhBmXdKqyo/KncFvM90Cet7EoKBdp+bXRe+onDo3g
GfNbnoTMrt6hMUTMhDvJmM5PGSnO5UBMGPIVPjtSKdkwf83oPcYJoakyLLpS3Zde1pzzqve31eDF
n+OWLE4l5/3YheM+ihkC+V4ev0fdBOAlGNLHACLo3tAEaN1eFTsNGc0joGcZv7WyTJ2ykQVJi9YX
383zz5nqsUgEpjUGWwRNhoG4eJckacXi0tiBc+xU3D7reSgPhVGrS5iKetsuEJ2cerJ4lZY4Z0Tj
2HuHBWhN50D/7LK1PDhGZkvA4EMarVQK8qUUQ/M+kwu6BA2Usy0rgjr2ZaSuUvTWk3C66mZ2YYKx
UzJrBDtFxtFVFCxlTmru8Zha+yQYgyvmadlSfhkJ0iVCZRcvgT9KJDB66whFPLY+ZoZaZ7bPrsxR
guttBe3G1MtYw5xqo1q7siuyWzzSMbBy8RCwf+fMVeqmjUnjEuv4aM1gO3HCVbe0wspKj4SvgUo0
pv3u9RyaN20i1avnNKreDVy6DBDdsL0cmcybhqaHaG8jtxVrImPTcAypAylBvCXex55ehpcij/tH
ir/0vk1z836wlEXa1m3aaNUZLA8QfOXey7P2jZhH+VBjXwk3luwoR9A0hnsq5V2dZZ6c/cmezjWy
JXQFxsMPHGAHnNxhrz4p6ubwFA09pCsnVfazSEb90baS6hY2+BzxiszXoPOAOLBtOePG1UTvQSDH
5LOn3P9WOg5CG0UD09Xoo+IurAqxp3ATg0o9tAYAHd/7Os9Ba0JCd6b3VrV4YNDSja0zVf2XxMJ+
umOyt3SrqvCQMFl+6NPWpCR9+SmZXdGd6uieXIX/bCekPQdwsh95OfHR67iobsECvlM6f3HT7DFT
OVbYTDbnMFcO7ywlgUCRe+bsOSnCNd7tdlPYFh98FHnhx8oE2bOKqkFya3XApa64stuviRfpcwiD
+ZEyee+xx+B74fKSnRs5ZZ8M0F3J2gNn8pVue7WH2eeC0qUe4YqDqe9Jvrbj5yCexHRXjnY/HZi9
9umdKiwzW3lSTgeyHu7XKJNwCAqBM6wgRwaTvSKqvLLqILzSvA5Kip3rO+3S3ncpo7rb9knKtLSb
0S02HiWAlPD0dmztrTKMX0hHWju4Hsmn2TDmRzIuYAEIPYTsbap/NbHzPjI9zK7kjebbHNvtd/vn
5ltHycJon4m1DzJ6nNTUfBnLoLn4JNaeayKvppaY1hkNe++KeCGBWidQONwieNqEDMACEpiz74k6
kwQdpFQrFU/445vMDbuVKJw0PXRdsrhKdcOioUtgEVlnuZ+ENDXGO9029UrE9bDSQlRfHUO3B8IO
8QXmW/kQ54P+WIOC+tZAyj1kRWq+9qZgMjsy7zhSzd20O3PAsb7OyaMcjdCZjSN1SOJg+TFG5tom
GOVOqv2suCRnq7Fuu3Os7Lzap17Q0nhmNsmZKwGxm3qwDtUodEoRGcZw01WcQ6cewqLqiqra2FUO
cTAB3gYe3Df46KBc3+V5EgG4xjqXbazILG+En+dDh3OF043dJXtXNMkhcAtC/oNhWo+SJ/MwmF7x
JSjn/PNyy275DkBdNp1jG0+iq7tbnpn1R3iD0zE17ZyjKhv+Gv7jvK7wrPAnveCIYVjlqRFTdS5D
CUiO0XMZrcusTN7zMqN53mpjeQ/ojB8hTYE+8j4kyUMX5j9qbMU2r0u+p5Y1IdkHNoiW5q5c17Pr
nqQaTWKH4OOeAWuHj6OV0OQczJazJkPopaeEMVCHP8lu7prYDayNNzvOAoPzqkPTEhro3SI2uJoq
tPLMinP3ULcNHw3HeJGHkAHcAfWRHek9ZsrnrYs4aqIVLE5gygXQDGfxJkU9RgOg0fPQJsvczFNL
ZpUE9Eqk3hY4oTo1FgDHOu3nb3lgert5HOlv5xiZV1u/U3WwxjgSH8OUc9ko0/Ii659MUFpaHrTp
i5fcXe4UzB0zwGTs4msRmPW9Q5XyOQfvccB6Whx6IsTHopuUhqKSj69ItZbYkyUpjwbYIRTFINZr
yGTZpQCHYx3tusbb53djywHQHxh9/XWp6v+l5v83Peo/cr1e2va9fk8XsvKfJP/fv/ZvWpb5QThW
gFUNBL23SFb/0Pz9D64PZAvN/89EL9v84CD4Y0R2cKqH9Hn9rvgHH/iDpSXl5wB94YD9BcWfVNwv
SpZJH4lJFxzqBAIZitufxVoVTVXNlNvay8TNAX1k3jBjzSlxpEW++95MkfVgThymdZWKNYkntA+R
Th4HZ4dFcXD94RzSAQuGlBNylABXUNVLR7t40YPR8ilC2igPAd/nCPxFxV17FElso623kjrDkBZD
vMiBOx8NejLTdUDQ5pE7tr0rWj3fW8jpwJBIICaQOugX51q0SrxuxP08HMgK1d8lIsu65TQbkZeN
sVqHZnAVbRefJZLudrISjrN+p3e5BXXPafN427RJcEoIza9DNddrbTLIVEAHviVEPol6c3nf0Wvm
7MupE08+t5z7tPL0fjGhb3J7hLXutMN8Z5j0P3EXa3bW7BcWraOyjFdEZN4zCpRo35JZss8DzSlc
9lM6rEkEkjR1u+BhyBKIF7oiDx441RdBD8XVSYG7zt7nNhSXuYyp2nWyA7MHekgINbvTgzIgdrlO
d/OL9MJJo96Mjg8OpUbC9iScqYAb/a40vCxDFMgrpvLj0G5UGnnPLYopxqmsj8QGig9NEMkJmhH1
j0HubCJuEOgvZdDtVD4x12jDWvSrorPKd85002Wq6+hzmIwuUemgus2NySI+w6x5zmA03NXJ1BxG
zxCXUSkwuaK1IQ0FLQ151iL1efnoH/pG+wdY2/1Lz9SA/KZ0U2Aac0/JhWGeAYAbx9LSxtfGbkHr
py5VoTxpzaorBv/jkHnWqQDwQOJYYazy+I0Qf87jbzFE8K3gqTwgPuFMLl1V7EXpFp97cJL3Pq0B
qwwM65e6Kt/aYPLfwPv7e47G6WPO2e3GVcJ7JUiTkeJW4oz90j9j/ZN4bT21IaN1xrUgz70Yi12t
beMQCgrvoMRaD2zQXAHATZQVB1yeaDdtFj9Wd0XMSi/Z6KCUZqk1rk0/N88TDlyIEhT6vrY+J+51
E2J7KnU8PQFUGI/50Jg3DnGdA3+l6t9tNxjuGJY4uNGaBEf/3H4e8mg4Q61oDqC67OdGBIZi5lEO
GNqS+nPG0bJep8nc6DUNNK6+hiLNxlU0UGy5oYmK5sE0NYBHDVCMooFyNkrXRkymBt8GMN9w6z0v
f3VKgvirxuCj0OkIq7KRYOjhjdklCXv8JDbU3Ts/ATNpxCK4Z7nAe5fGVnxNFBeXAKLJbWjn9txD
0L6x0yPNWb47PZElMu+ctG240miz/AruW96LdlKon2Zi7fpaN9t49AXxBtM3TrBDQcsN5lCafNMi
ubcgn16ifk5vTT2Azo7GYttmZrYxwWIdfH8gnN4aQ/UQVEN0T5UOyliOntJXLZftBkLuLnAnToRQ
TOOzlUTWzi8n72yqZjzBFVF7YVvtuRDVcFGorJ/dipsx5zVOImtreqlw3wIN4fD/bNY5Sa3/oe5M
tuPG0mv9Krk8NrSAAxw0Aw8uIhAdu2Cw5wSLFEn0fY+nvx+orLKUzpRdTl9XXo5KJSUZjAAO/mbv
b4uZ1NcBgQxiivpG5gyiIoPpckR20xYvBvfWNGTJpR+kwzUcn/GaTdiAsaOo21UJU4HOHnq11e6U
Sq0hOfchQntfJVEFA11rKdVRM53sGElL3leYJu+BnBfvg04j7s5jgVpntpUba+rEVd8Iea/5lSJX
GrETZxj9SIVorfgMSRSXdK7rHxjTSADVhvJeFqq2VnC+3kchNtFET7rWBYQxe7o2kciF8G8r4iTc
qE04rPo5aFaVUdMgKwiNbwwr8zdhaLeQzuxh2hdJrp8HWTRvp8yUW5CHNrvkel4HWqztY+hTj3Tw
hJ01ojtVTu0f+aO/qFOtx2jQsm0W1OEGEWR1Kcymu8TTkr8y+ek3hiayZzwmzrNjZ9mxM/toyy6F
XmxmcZCgVfWyvtYZNCiW2FOpEWJSEeK0kmkSkkyadgdGMBWZsHa9N2YNPkM1FiuIzF9FPdpM4JtD
GaLCsHiqZX7xXOpzNaJytU5BhTs+G6c9jt7gtorT/p3MvWFt1vq4beshx3fTiUrzzGmmU1Th2YUo
rFD3K5NuBqu21svz0lLa1WxARag7sFypjeKHuXK+k+S6ICCTrqE/1kRwS0byF1rR77LAZsccBReM
peodR7WnTTTzWZxVO2TFTEBqduW49vPSw80RAaogYS49JHrbqIzBMPqEJDHihAw7ErzaON2jaFl+
Fy3IvXpECB3W9TPrNE7mrrDQhw76yKhelcNN3cwTfYKYPVENcpM7WX/SFQxLHvJLZzdqJdJubFRU
86PjDrB1ZwYUKZGuRwYx5WvZ6QlbV5hXLIOyw1jy9iA/lwy1IPzMY2lcoD7T1xNTQmaL+XSmDWJL
pPu8w1Y5s8wV6SPd6RtVO9/WfwlHq9kNGRICO1d2LYSO1ghWlSxAkmhGsRoNRT8RXtUdjLhQbwzM
RLZbK/F4FZK2C/LSllgxZagaazYLGlhxOKYgE5WP0a/Ngwav/J77ozq37LLb6VD0eMx0xVvWZv3O
FqV1aEU5v9Qh+ViAR49LzMRipJq9oM/8Gz6AjPdU2KibEgwltoBVZjRVeKkFSKD5hzpz91Hblupc
HGGLqOcNMqTHAQi614dBSZSY0vflZiA7cSfMlpGdg0rkI1N0HbKNAkM+SQzExjpMoyiwh8jD3WQa
W6y54T43sN3C3cKBG45Gv8vRGKkMkXMzhUKfFyfqiyi/SANiVtZKBtUcy6e+Cvdqg7JtLaoqHq6c
cawPiNbS64W18Z5x4kxuiC94lY6ktTa6Gd3p9KFeTLkL5FjTMMH0GJ5EPrf82dJ3GcFfGz0W2OaL
CBUgCIJVZYtop2YReWQWKxemcVcLWC5HAMwPbPY1UeHrDvKla6sjTTGlBQ18EqzqZhjfhmgcP4ZS
vNH/1c8Ael7MsleZmBlBceUogQmEtmt3sxVFq7zQh3NLr7EtlWp/NhuiBuHEmNBqQlCpKY+nRu30
g17Zt2IecC8IgDsCF9zar/NmHTZAJdKyCdYylfkmbLroLM7z4arVfGXrg+FALZe1W8yx5soQqP9N
hsNvrHL0DfdosM3DWedj6LLbSBb4aXU7OKpZOG6buW83SoydATW5eRNYyy4h59G5isUcr6XRpnjw
eic4EBjbbxqLIQPRyNWrxpLZQ9TiH7OI+Yw6FNaq5ohCAR/Lyw6W4UpJfWBtFeZ5P9WRoA927jAe
iUbpzSnqcQkBsliJaLCIYVbDTdxaJJh2yYDewimMM8uue0+rR2OXjdji/dYJvbpUwforwt/JyUi2
yTRoAKuCAhdYo4M46Yd9lPrF0RpSBh+dySYTiYsSPcqobnfVkJQnFbThehRMBowot1zbmo17HnR0
3GZt0x1EpvAMiFwH4Er2zvJbnBb4oD/sPLEvzEamdz1RWFu2jKpX4SjdzYkh9041GRtkjSpc1RJW
T+I7PGomoNhUAzrGlnw8b9T2mmnIhjoVu5qFndlO6weFLCPUTeFlPylP2FBCVw8KXHU5GhHTrmEL
FTQtpWktAZjqeChl2Hq1j7/PHQ1IA92ybaGJBwLKhcFELSMH+qQmbBRUY5brKWh9fgPWMbD3/cPP
NTXwlP6TPu03ohpy2ud4UGEPsudjR6bLZK3goGZJbEdEoZMCBxlduQNyMd7amuY8TnZfXolwDs7s
SVRPfjTE7Cop8AG+i2AbdlN5O+rODLUTxhjkT/ZEBMwe4dWKkJs2EgkF7cLBdwxKCSAZ0aNB7oVC
UZOD8hNtvmUpsBBeE7BnkfI1MItgrSswtpQYbgxg+PuuamDLt6UEuexo0Nk6nAKaxNJREduFq4ub
llDeSyMlHw4cfC3XWWXPmNUs65lKPdhK0cP1iYeXopfHrkWNTYXiTmQ6r3GGTWs5h9N13+Xw1ZL5
HAgIeA8yHkP2txDT6ErD0ERKWc8c20Et30RbMYJS8LTzcM8oCr1e0YqHWWSpWJeRDdmnDs3+3Ido
uQ/Z3BMbHQjzmrS8/qrBG78AWDQf308i3iXiobfSn/t1aSiWB6VAnIo5QYekwCuYEaGpXjH15hlO
M2VHLj1w53guKmguGEuJa1HH974ZH5twrlhiymhj1Fm6kWOVbgiAZePP0sDVgd4hJpfwmCrEyBaI
XNZUXdE3HjLu6GpOcp7QzH4PPv3rMQLLAMVs7KMTN7qzH51x2IvCwEbEooIYg6n5KMOWUjAbhvE2
zAaCPDvqBSiKVd5ZKxuM0rlY6uz+s+ROP8tvsVTiPIUpyiFTgyJsK7FR6eWB8A5heKUvlTw+Hc4m
e6nvtc9Kn/ATpq9L/T8odnvuLD1BsnQH6dIndGkvYNoHUD+bGApuWTgNwDQajPqz10AWzQdULy2I
/tmNdEtjwixtOGaf3QpQi5HRYsjD2hzEyg6X8Dq9qxQvCBG6OZ8tj/3Z/mhWnZe7trJGfDCmdhhr
iarZKGM+8IQLF9E8kGSpWS9sGITrwFeFQdi3RwPd2HayMWJziNFvzdV8U2IlWqdKeVJEFO1KhTdM
V8rihCjZgI9HpaxMDUqfglL4YAGoOetDmjSj9onX7uIOhqxNGYZTqYVFGqjaA1JzuepwqB8dG8JD
xWdAxvHSMsIZHVfJZx+JAiC5CJOWSQFNJgQ/Eis/O0/zswt1loa0RDu8rZYmtVvaVVTSCOjpYMul
lcXDzse+tLe8yKXRpeWtl+YXkla/KI3Y3i2tsVQC+yk3qqeRJc2ruTTQ3dJKk0uYP+dLe21/dtog
hKZduLTfztKIT589ebq059nSqKPhF2fQnKyHcWnj28+OHv+Tv8qXNn9eGv6YQzrzsfi1+I0zt/uc
DCTLkADcibWTy+BAtJ2z/vmJ+ol7+F7rqhkCkS3sfcZvBsra3+Y6Ooh+QPMp26m1jUPO9LYVvg2j
WHE8sdDLUH7Jo2osggNsITBHo05ue2FpTw0GM6ichRW8TX03HMDFwkqyteZoM817pDAo7nW7PO+i
nKw8FTgbxRNAG8CIQGaUMuEzjfXFRQ1SkuydhlagjVlDm4FiHRob14PXTrwq3RE9lZU/5y9gS1NA
h60Z4mNYDrLk80wjmInzbf4864zPcy9cjkBnOQx//oZ9Oml/eMM+J4UU02IZc1nyN7pSBz7fZOBt
36IPupkf9cfqRXmsTsNlc40ZP79S0suf/0Rj+Qh+8xM1lUxKzTAcjkrrNz9xYMDCcDzyt0hs/NcU
01+LiSWeLpMxmgXZqfC566lCGK8FSfiqyRk+MNLSD6wfo+5OU+Rv8nhAfScsKmpv9nWe4QJgnLqF
qKs8YLE3b03iaBOICsVAbqFh2YmHJaLejVVRneMnTw5mPo97KhnOJ8YpLubIUzfO9haXScCwIYs3
0GCqzdQMGHQKOT8jAvP3zeCn+76S9radUuUui4b6HClUcs2WKzgTaQdbjpl9eRM65oxiP4pJ6RpG
iJVjVN8DpVzOr0ykD59v6v+au+0vKD21DA2NG80QljP+h9AXx9cfi/XPX96Y2n8/sv/db/Dr8B6B
PdN2eFCmY+i6XKghvwr2xRepE8HMyQEbDvrV35kluvVFtSz0kTrDNExmjOj/ptfXBaQTy0a5imif
DSxl3j8wvbflYlX79zsEkSJeAaTen9Xid0J9I20LFFNtuEsHK1vOePCvPJUDZwU8AECWjgr1zFJy
e9vpdYOCR1oHLFYhe1SzRfhSLt16bkPyXltjSuerMLBsHHu6R3PhMAVEKFJu6iRLUhfisnOCB9Jc
W4lqjORsZzwOdIsJdcUINyB6u+w132uIMS4QKJEl+9rbvVIirCiMC6ZR+gEp4fDS+1P+WoYJsePc
xeW2yHIsvrOMFs5U35jqbphM8xmfEI2GXjjjtJ3UVmWCnKZ9tcc76isrTC5GvO5KjaEzIKLoGjeZ
DFaYCKpbiRX2prNBlZpJ15NHO9Xmk5iS7DiO2qSsxl4kyAZinLnQkVGJumg71KcqhtkM8JDt5MqB
J3Aa86gvXMkR/TWWynhw4gw2ZBcEJ6nI3Ftq4xtK7u4B97M8YvjLTlaGoF1pDWeHh2HeLpNi4Lem
5Z/3OBYYc5DbqwfmuEbeqdibHpcdmWSiC786JF+HOyVtQsdLhdnzhEiG+axUTP1jwPAPoiOY36Mh
w1rnB2X1NIvEuHK6CTdG2MSE6GZwYe8sY2HXdl3WHsPSwQgYx6TjOSMOC7cjLmGbpMyXcSn0w52l
mco93nOqQXNgOclAkqgzx6ymxIuoJI62GYpXSHYVSgsQ7Jog/4FUpwCdZm7SAKFXziwvK32HLUrS
nsc5kzO30ut8ZzFhavZGxnCPpXfePmdMxWs63K55DzJ/vJV9AY6hMVoAL8wN7ZXld/YF4Wbk05Fu
lqbr1jEITKvixrliuw9QGM0KWyfp9GBSJiUtIlBbYDxdnHGF4cWQX/UNcHPrnUBdn41uWpEjjCOq
nD2zEuRUKU4GuruVyFEpQMNHVaCCQLQ0opMj5aNHh5ZNzSIRzYadzK2OBsWvx24VUdXw/vWMCFZA
1nLGumz5T1ILK4CKuEEeM3REH1Fcwr+vU+G/s2ppd3ZcddrXEvYnMziKzR4YsT9zSY0ITjdWzQL9
iLtQO+8ckhJRaKX2Hk1q87UzwxGvOZTQtRpl/LkRjXKuKVGReH2Hz8Yo5jk+tmFvYiQdfbYxw5Td
AY813mDTRU8sn33mXuzuSlpspKIae5BNrCqJgWo0H/ZliJ2bwaBpoQlTCLxaM2xNceMXSUvctBN0
m8lh1++G82S/O31tinXSOCgjrVSyqRtb6xrAWbPvIWewu8+68UZJnebVqWXzEBO/cGmM87yRSCaK
NbMPkw1T7fTXimI0D0MtpVvLgQ3CzCOzT9lLeiNRN8y0er/34FG3EbOjEIFqCYXWU4DskGUY9+UD
ZIXkLNcSGXpmbEL7i5nCY8MNkKUSdDG7kqsSkR4zEqQUEtpMH1umZzZF/9WZGWHRRnbISdppbi9S
tHgnFHMhDBu/KH0vldO4JRZSbiGiq3urTJDPCj7Gp9pJ5jcI1cRLiladLnDiKRedFQYXDvNGZoiF
YZ2GrIxu+l5hyZ/2prZXB3PeGcQpniJ7oHGkhWQGOeTkWBdd/rj4IL1+RoXd+D4BPeChI7S+wbyJ
E0YqrnTKyEOehLgOKlP8TKFeXMVpLb2mChYY3TjuyQSc3zrQ9PZqIhdd2yZJgerI7Cc++y4pQ9LY
hqB8KuFVgXEOBCF4ukakHTERNchstb3j0wH7rE6BdoXQuFn1KTTngyLHoXEHFHLOtrCZLPiRggtA
pYYtuVbj4pVOnYWi0XERVmrnCDI/qvhZK4zykVBTmM5VVS9S9s5o5cZgOgSTL4mRi7UWvexWlGp5
38RanJyEjSCVj0Tn0AlU5vO6Qvd1FsYTA3ackdrsWVG7EK/KiYQLkQ66sa9V8iSuyqqsL4I58iN3
yJ0pWRM641zWlZW+jmEQfoRKXazLRo1uA1E32FtTTMkuuX9Auio/RuIZFJbnTxpopiC3op2Rq3RH
SlGNB6OvRgZEk58euqFHdyr7NAMQXrQArGPRN2vSHgFH2f54HAhKmdcKUZzbnlSYvQYuBphMlxor
6LFy3FTQ88/1mqgNas9Wx+ymh4TdXNVUkYEbFg2rQ1DR8/kUQybssixfMj8MFWu3mcWvVpXk6CL1
s2EE0Oeyl+S/op2vrsvCah70lA0hTYqqQ8RsJV7uBPIDiRYENQTAcQ7cNrJ4yNhMIcRum51lUpIy
yYD2qKVPLCIQ8ZuL2S2pFiRx7qSHUB9oTlncgBaOGl+qSIznnHNIKttaO+n2eC00UBi2iiAm5WnA
gxqFZpqn2E3mYpms+PYKd3J7yv2u/zB4+GxheTN6dWCT1YO5ntEz7+ZBx3/fNs2dPkqdeCdJDhO4
DVKhbBIYQHr4PUKj3jl2GoqAJB06UDRM6A8wmjP2LVHHkkEjTUiH0wZHLYrH81mvWN0Fhbp2ep8N
rOQg92JiIkpXG4NiWhkMOGAZmhos+5Dpz7aJJyd256hK9nOEMR26aEqszaCf23Ybn4HGN866sAOc
GJVd8+hwnaGvzO2vJuqInNbBqK6MLLVPTMusXdy2OdGIpY+sd1TEm8MFA9tRy6+r2IF2Q+yI4WUJ
4B1VtuWdmmNAGzo+/sKp8HSECQ7pQSQzSzszUF3Niq3LHHH9V1Jv8SbWyI5XZt2Wi8FQrua2QhqL
mvYrERnl0YRbcJGzjcdYn8TBZSMbYp6IX2NojV/BVdJSb6m5hPWczToQn2Ih65pGBE5FDlnw7odV
iL1RgcfWlVa2SuHXkyJRthoPUNxAT70xWZ7Vw6dRDL1XOQD84MlSEwZeQdSPz4oJ1DPpjDpC4hHj
q0TOvQ3t0rpCsaofGEYlH7ze+ggxfHp15g4K7FxOpJzQ9zAF72u7vXXYllZu3JBesUaeDhHUxL14
bQe1vcGrMtzPtPQbq8qzF0eYlBplg6XcbRufpapftzns6koPtnxUw7kWBC2nQ+TX1xEbworyxUxi
Fg0pJxUmmDaF7hbWEbtspSu2XYvUYV/CFwFH62Cm2hANpV02ZWk8CGvoA1c0jD02JLr2MP9qGzV7
hKTyLAosCHukuDTtGqJATVTsrM76it2g6az8aaifhjaqY6CZId6haE79C6bgOrwp2vo9V4gzI16O
2hfgpDzUmPhpp6S3eP+hDxmEQmZxtxMYQO4NI6xOZZWSulHTD53iyXDWvdajPxWqdRY10iYmrVPf
I62ySXiQTS48nrs5B6Do0gEiYC1vWIpGKMYnSgJ3qJswJ41zLiM8FLQwRxgZPRb+Xho7KxVFAWXO
KGEg9LkNLIFHRX8hoobcOz6FIFiNwJK3ptbapzQVZbWencGe3cJJjY84UxzQiUAZ7hypTKjQFfXN
ttOu2xXDzJM8YX3WUayybHGrrhpL7FUxBqSmDZHMpMGHQFdzamcmdJNTatGGGhN9sGFH3mwV9XVn
s72pGfCda3ljm5uJqi1eGyNZqw4cXM6pLrFd02z8F2eoxEnNKTE8ql5HWdWZI1NvLE12T6znlQ8A
iDM1GihUJmFLtBLAg43i56NXWzq3icFzGeX1CACxitXiRQe1LI5xH6Se37Ot5E/jsVBTZMh5WQzC
JXCZAFSuKrHC4xcefYZtez2xCWFTM9YLk8neiQ5IVCATEWUQn8a3DO7iyOA1aWyP78vBspt15fjp
R8Hk9IRnDpoCVDmmkH5FbniszGt0gHzI9ch6VK9bAmNQB+BdogJ0p4Ds2SBvW6+bibf1yyiRrlSD
8iVMlfosIZOFAp80GqQgCNcnAyzRlkRca7zACq7Arer5LmQRyX3AhISWjJ5z2dd2/gGOUP11Sh2K
5hmI4oknd4krTUTOme0XOct9NSF3Zyz0rYqtBcAVccA4zEYvqEXlmSIkECKPrXlvxNjKSAvuPKcg
o6Gbmu6CF20c8KCpj9QBC/7YwaFEpoXCTZMSIjL4M7ovRodY+wLUAHHSnQqjY3iSAXttXB8CiotQ
N7rG55R6GixtgqNtR56pmaCckonvEfP1Sp3qbFXuSa/oWgbrjhM8gzpuXyeVrToUcM1fB5NInoOm
sK7hlTO0ozuID0OhpNtZWfIg2SncEmZ+RAcMgw8dwDXrMO5LMSJK8k05HuyqH3ZGmQZnplkmvO9m
dLDDlJhxhL1yWySqeKjqGY8HcGxzqdAzktdUlZWF9U0IH8RUs6QcvUqOmF1EWQp3a4ybC2QIHRcR
GcVd3YNoFgrpbutAn9N9geEjclnBFrcgK+0NJZx5JADCuDHmQt9bZqMciwZ7woDSGHVtbPa3lVIG
4KhtIfZmYNueNfbhLbceYGlTYDi1/a7keAwY/zddj9sqzaHiYSALwSqG5hHii1m7lW1POBZMNbmQ
ik6cEproy0jMyM58ptdXdVoF7HBUqJEYE609mZhTs/a7uL1BSB7ddWnXHxmzya/cu9pRC2vnvcIo
t6md2M9cU0xY/JTBYH5OEMxFqiXxHrdUTMqviuNA7ZllZC3nFQ4rAeTOzuJ9mnfhusuzDKJMlRHP
pox7UZol61NjPFNSftnE4pu4vpJjoWyDwvQkm9WHmkddyE9jOUO6ybJsBJ/ii9S+bcMOrPbUsR0F
gTmYmyqJGfHrYrwoCgWO4lK5yBXp1/mtRizNxiR68FgY4sOiGeSpTJxDsx4xJJwzYrUAKBi11ycJ
PGwEZMM99PKQz3KuCnvT9UX7Ru7FtPpXmvO09MmY2+nkKLptWo/jWjVjSM3zFEJ75JHSoYeM1eb/
DQzk/yP6FfAL6g9MRsJYOBoSSsfPhojrl7f65Rekv78s6OP6l91L/55Gv/wf/o8/hIH87o/4Nma0
dNjIlkBMRdwEOsclePc7LogG3sPSvwl+GQH+ze8OFwR9MMa4ZeppMAD9+5xRqGiOSdAANoIXlG9p
/yNzRk1fVMD/PmfkhX+CQbioNTwqkr0sf//dvJF2aYgDtPfIBe+6qbhwbrVNsGHNQ5UHg85eiBcb
tTnpdySSO8TAkoldRZsoe/DHdh0xt7N7A91w9kxFT9AT9DhUncoG7cG2p6jwm2wf2q/TyPSmDHCg
RA/d8Ewp5CnM8CDY3uj4mwcxXel4nXTlQAB4jQl7h7C1F5fBW4gIK5fnBJW6+XBR1N3KNz8YVq2S
Gkug4pKljd0cSZSjapccj+sJi3caTttsKQXJwkFAREi9suX2qTex1gZLZXw5hs8UZVT4w6vq5HdN
q15n1cwejaegK/Wp9BqLqLn8a5temXbPCYO1iMYJQSunJ3lKbNfcwRJHTJ03QYrXWK83S7CwYmSH
BF8OJp9zfYRxRHl51XQ1/UFQrzvAKUuSAJJGdyxjHop6wbIZp2FeGU8qamU+Jq8vAg9HBnOQYWM0
yWYyplXdjuuYNOA0aS70qD22pg61Vf+aWOZxLHitw0SyRamJ+zGa7gpl3oiMcAKQZG7M2NoNTboP
zGUBTufoGGSEkFXom5dS67JqIImNF9/dNr+LK1kIrT9cW9x3REioFip4w2Ke/uO1hW68wdfO1m2c
s7u6RatiGM1x7MkvHTh5BTSr1DIPbZJv0/KKfeBWasYZRu9uPals0bKm5+nqO3szSuEwqZuoGzZE
jmFj8/Wj3hcQl+SNbkgW1zFFlB6dVfmZ2hnbuszPtAlMjY02bUlwmq9lGu5wi3i15ly2fIT4iz+M
Wp5k8qTwNvuc4gDBN0FM0K0WrqhbEZUs7LDm3HastUDKFNTKrpzVYy3rTa8bx0l1zk0DGR8uJmdE
4hi2t3GJCVkzQT4dDO3ZZAIJN/JQmfOlWjB3Uoqgci2LEYTDVYldZFP2YFTyC6tCzwX1W2b2a9ZO
uzRVd8GwEEcVOChJN5/PY+uR/PAylXJT5AyT+YYuMgUeMtqEzI0eRgSXcX4r6vqCDOldow23+fg8
x3I8KwnwgrapWU+VryMUAYKmxLoXlhoMLC6RwSRV23R2THrf1JHX2BPHHACxdan0JBhvvTursP6V
5vz888tELLu+314l2Mh1FaOouqSc/3iVzIVqAzbIibQvkvdA6R583j6/1p4r+qy5r9Eb1KfKTy7n
rr8KmprB6HgZ4aTUkqbasPZHT+vE67gp97gHr0JBUkPUnhpYF1iAkmMc9h+lzP+Tq5sV0W9eN5Qn
ZpgqBzgPGA1V7o+vu6FJYzsS+15l1SS9CNiYOHNnAh5JgmD5nkpGaiETGc7FEjWbguDQrbSO5MvN
yGClChkHWgpT/LrCmVEClj5jlgcwL4LVFwtXmMDPo/6Gg3Wrp+MxirsbUqrvZgT4oIDeAjneZAaF
sG636yIkNBGlDD/YbAsmrzZHYy8+VMYbwBNahY0nHXQ8Y6JPy+EU9v1xsLuz0vQDxhH5Rdj7VC+m
81xZs+ayQb81tfSKOAwEKbL8wH0WelIvb7Fmfjihnq7syPxAnXDTmPFjxuyvJp96I7WPkolQCEvQ
yXkFQbWvG8Od4Vbg1r4fMm2LnNhxrfp1CBWA/CTTZoMHYj9QB8Dk4Yr+5SEv6ZFRRBHY5mWyvUB/
diTvI3ZLVeCycnYKoXhY3rqHuG7vKkQdTGoe56S6C6LximCded0vTYvS7vS4WlWBupNVfiPDYaci
q87b+Kuvljdp2B46gb2cKWYdS2h19jHI1T2g1eNgIJ5M7ZtME/QrpA2z7fccfCUEum6CUN3w0Z+r
5KENhPKaY/TAGHrHbNBriRGWzJKL85bgZ5DkG1z1BBDixG8e4/lm4Vclkb0OuzOnTPZx7j/UvIXb
iSaH3QRoBLRxdkJm9NLTI6n4SEKaiNY8dihc8dA+VRnBAXhs850QKVF8OuJRpv7tQ5xZ1wUwXqrO
Cv4Byxin7FGWx8AiDXTd4iOys72vOA8GU1NfKd6ALW2g12CsILcn5zak4SqObZXsxMxyoShvssE8
JUF8ZohpWKN7civMGSgTNf77du0U3QZ9z9oPmpwn02Mshh3ImF3WhRCbWFMgf8ju9DB/DBp5Ptb6
fdoSECnNRzlXt2PWtR5X9b7yrY9Z6Gd+F5regAbPTbWAnE0TRVQ7TWtQj6knjfkc9YiLGf8KKVm9
tWr1xWjo66DOnAp9ekkqOICo3B+ZqYLdR6yxipzpWBvtXT/bh95Cva2rjN+TfYKSHksV+bTaiIw6
vsUp+9iJ7kwdx9dsnNF55ZgOUn2nDON6VNVjBsAa4f59hs3brgkyN5yT2ZHKmDyhG3KR360c3OZN
H13r8COo0u9ZhX7MEdQM3rFxdG7GSUcNFG2LFh2cVp18UngT+8OZ1eeRDV4gxo3WOV8R4a6jjIip
QMqT77xnNI2W4xnKZW1fltql1K/y7gTX8FgrGYBHYAz6iRwyF+/TXUbae0LVUSDchUzq9hgWRPye
RLDGB/qf5tFybgeGydjTXT39YFe41sRTF9xYAZpMuyZg9FphdhE0w6noBJeLchGrGDijZXN0rvpo
4ids7DyjIsCHSP6lkXnJJxSGdCrzShu+OrLEwK8/ttCHzIn7OhGPtnPMxgFD57W6uI85Kx8qn5zl
DlxlEL0OWK2y7oO8wFVWOq+jrqcbpyc9uzR3UR3skkh76wk2WrFYo7UrHIIgWF1KZ1iz8MXUVNj7
mAmri3ayWdtBdh9NgOBHMRlvSi3YSKIFZotibwYYxMBzbsOgstZzrN06ifJUTNMD+d638xgfZ5/k
yR7a/UrP2UkwYiT1MLVzj8gn5v9D/rXo5q09Wzt2R8uysV6pSMupq1iYGRWgeJUYIpgZGeLGFuJK
p9V7c/Ahnrf46k3rNev7A+6gd3vqbkEBlasqFrs4Bm1dNJQmIGUSz7cWpRIonbhn/s4SrNSYi8/G
OYzkD7KGV7G2DVrzYBjFWivqi4TwIsqni7CSsGLbLdplQeKlDlvKIIjVGKSyZt8frVmWKqvGcFov
TYjf/NdwptO1Osq0UjrHRMQqK6TuNlKzRzyogDULRHhB45/0UDvw3hAFRRK5K0owa4VlgY/KCfxV
ybN2EfXcfFYH/wOilj8hV/n1py9ZN17eRiQUdO/1dHqHhds2f1NtLH/7GUh/W/z3/tHPv9Ev758/
+XYq3//tX17esgjLUNPW0df2e/3KIgP5rpz6+2v6fME/+xbpC79X98b3FuYXXRo6bEkoaZ9f//IL
1Pvg1792xBcba5ajLrSz5YsyB4XNd2/RH70JP//9vr2bP/83P/wC3DR5u3wKQVTk378H7H/+a2/B
b77Dd28B2hwchdbff0fa6e/eAstZUJsodxypfn7Rov9T3oI/vAxo221k4T8onz4/ln/kOnAIVbI1
JE0//vJcHsQvGaphf/vlv/2c//3P/49/eZXRDbjJP/v7219MinhaUvPbL8oU6PuLwPqCWRoRoNS+
3Qd/vfdBLkzZP3UNaPKLJaXkJMD79fn143vgfHFMyZTMYQi+fP2zzoI/vBYsR8Wx/mcvBd4GbniB
xvZ3j0TL+KIieXZMQVTv8sUd89c6D3jl384ocguC9+K/9ViQX5C/crVLEnmXrx9vB5u/BqPPnPEv
dxgu14DQ//TvL76YLJAZTDF0+I+/v6V9IXNINTkTvl0Df73j4FcaxZ89E4T+BZwvs2b71wKAKd13
5yIXgjSR4Qq2ZJ9fjG/+WjcD60jtzxZJmvHFQpAujD+4GswvGncL98o/uUj6w4OR6f0iYP5zTwf1
C3J8G4Yu3+m7S8AyQfaCOMFS8e1W+csdCYbGy/uzv73zxWDkTHyI87sHApeAajs6m5xvX3+5h4Jg
DPlfrJR/cxl9VymrXySSe8PgXfi/zF1Nj9owEP0rqIceEdlAAFVdqdtK3Y+yXbVIPc+SaGMIYeWA
Kvrr++zYISbJNmVySI4hPNvjsT1+Hs/kj6MJs/FwjOvUYx9hmPXTPyHgwhlXCD4C9qOZyB8DRS+P
g8kQttEYQWxPM2W/pkJ10MhtPfaLkxlyGGBJKEZ7WQg+hIO42AG4Tv30TgWwVAV5pS63jjxEdvIC
b4QzCVcFZpgKpyPkLMpXnD5tkwJv5uPGBbf/EVAdO0GVjums6fMhTmfQ9xMzA+Lnfmk/El+rcFqs
NRDaj8tGsIfQ9/o5M4sxPwaBIhP6agjgPpPH1X6YhLMJspgEONSqE8J0OJ9ejRD2/D9swRYjpaDe
EAQ3CTXpJqKsjptr+sDSTdXfDdV0F358p/gk50PFweVlnzi5a2eJ1HRY6UdLj+lyzN9NA6tFO2XZ
VtmXtyKSJFcx0k4rItJU85G2YO7gchLDFeVJUhhlsUOJaSrgVKEKg1iMgTfxs4y2ZdicbeTC3oiY
ZBk2361yYW9JHimlMrChxdjIYksrJL+rlTTSnIBu4BZxT8i0MHhP29cPgwdCTBLhSAgbC2W6cUt5
IJmCtd64Qsq3R2xs6GlyBqy3HFzgb7TJYgp/R9GrlYAepep+pX1Ry5K30vEFhfGxfgyp+5v8Ar6H
AtW3OKrmxg7nyuXpEB5WcSTl0QEPfJUWiA+erunZ4uha54YzF/gHrQm+2+Qw+MYs5WL/FJuNcCYs
+IwoQ4wLvKStSODuFx4slpKIsSO54DqYaN3UYswVLv6vKNsPbqL0hRKn9rkdwEVfECZzTFh76ei4
2XBz0b8e1kDfl+tdsHts7J1T44I55uJiVS5ywj2K1e4ZPqJ3WQKH0cxth4d8bx1M6p/kIW1enuDj
j0AXXUyU4s9OuuYAoEfTqzmIFa7MlhLXp1wNMuAdjN56h11bab2WqIbAyda+u3w5US7BqqstkkHH
+ZTfgZgWlCo51YB3IKZ/JfhtPo5utdB+iZJYVGuuju242tPodg0dUieDHayHn1WsZ1FJXpbjd6A3
bdKjMTugRdBqZgn3WAoag2LjGILbz8sIQ+vl3MY/0Rpc/LbhQZhiqp+PLrlA8GZF6vabhd9GdRdq
/THq/uZusdUXqyQief0XAAD//w==</cx:binary>
              </cx:geoCache>
            </cx:geography>
          </cx:layoutPr>
        </cx:series>
      </cx:plotAreaRegion>
    </cx:plotArea>
  </cx:chart>
  <cx:spPr>
    <a:gradFill>
      <a:gsLst>
        <a:gs pos="0">
          <a:srgbClr val="00B0F0"/>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sale!A1"/></Relationships>
</file>

<file path=xl/drawings/_rels/drawing2.xml.rels><?xml version="1.0" encoding="UTF-8" standalone="yes"?>
<Relationships xmlns="http://schemas.openxmlformats.org/package/2006/relationships"><Relationship Id="rId8" Type="http://schemas.openxmlformats.org/officeDocument/2006/relationships/hyperlink" Target="#'pivot table'!A1"/><Relationship Id="rId13" Type="http://schemas.openxmlformats.org/officeDocument/2006/relationships/image" Target="../media/image5.png"/><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image" Target="../media/image4.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15</xdr:col>
      <xdr:colOff>0</xdr:colOff>
      <xdr:row>2</xdr:row>
      <xdr:rowOff>15240</xdr:rowOff>
    </xdr:from>
    <xdr:to>
      <xdr:col>17</xdr:col>
      <xdr:colOff>83820</xdr:colOff>
      <xdr:row>6</xdr:row>
      <xdr:rowOff>83820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CC3F1076-172F-461E-8164-24AFBDFC58CD}"/>
            </a:ext>
          </a:extLst>
        </xdr:cNvPr>
        <xdr:cNvSpPr/>
      </xdr:nvSpPr>
      <xdr:spPr>
        <a:xfrm>
          <a:off x="12283440" y="381000"/>
          <a:ext cx="1409700" cy="800100"/>
        </a:xfrm>
        <a:prstGeom prst="leftArrow">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rPr>
            <a:t>Click</a:t>
          </a:r>
          <a:r>
            <a:rPr lang="en-IN" sz="1200" b="1" baseline="0">
              <a:solidFill>
                <a:schemeClr val="tx1"/>
              </a:solidFill>
            </a:rPr>
            <a:t> to see</a:t>
          </a:r>
          <a:endParaRPr lang="en-IN" sz="12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259443</xdr:colOff>
      <xdr:row>4</xdr:row>
      <xdr:rowOff>19957</xdr:rowOff>
    </xdr:from>
    <xdr:to>
      <xdr:col>6</xdr:col>
      <xdr:colOff>292100</xdr:colOff>
      <xdr:row>10</xdr:row>
      <xdr:rowOff>96158</xdr:rowOff>
    </xdr:to>
    <xdr:sp macro="" textlink="'pivot table'!$M$12">
      <xdr:nvSpPr>
        <xdr:cNvPr id="2" name="Rectangle: Diagonal Corners Rounded 1">
          <a:extLst>
            <a:ext uri="{FF2B5EF4-FFF2-40B4-BE49-F238E27FC236}">
              <a16:creationId xmlns:a16="http://schemas.microsoft.com/office/drawing/2014/main" id="{B8728293-76D6-4B7A-AD13-53726F3E88F8}"/>
            </a:ext>
          </a:extLst>
        </xdr:cNvPr>
        <xdr:cNvSpPr/>
      </xdr:nvSpPr>
      <xdr:spPr>
        <a:xfrm>
          <a:off x="1478643" y="731157"/>
          <a:ext cx="2471057" cy="1143001"/>
        </a:xfrm>
        <a:prstGeom prst="round2DiagRect">
          <a:avLst/>
        </a:prstGeom>
        <a:solidFill>
          <a:schemeClr val="bg2">
            <a:lumMod val="9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Calibri"/>
              <a:ea typeface="Calibri"/>
              <a:cs typeface="Calibri"/>
            </a:rPr>
            <a:t>TOTAL SALES </a:t>
          </a:r>
        </a:p>
        <a:p>
          <a:pPr algn="ctr"/>
          <a:fld id="{15AC8F2C-19D9-4783-9DF8-A0D761D28054}" type="TxLink">
            <a:rPr lang="en-US" sz="2000" b="1" i="0" u="none" strike="noStrike">
              <a:solidFill>
                <a:srgbClr val="000000"/>
              </a:solidFill>
              <a:latin typeface="Calibri"/>
              <a:ea typeface="Calibri"/>
              <a:cs typeface="Calibri"/>
            </a:rPr>
            <a:pPr algn="ctr"/>
            <a:t>₹ 15,300</a:t>
          </a:fld>
          <a:endParaRPr lang="en-IN" sz="2000" b="1"/>
        </a:p>
      </xdr:txBody>
    </xdr:sp>
    <xdr:clientData/>
  </xdr:twoCellAnchor>
  <xdr:twoCellAnchor>
    <xdr:from>
      <xdr:col>6</xdr:col>
      <xdr:colOff>489857</xdr:colOff>
      <xdr:row>4</xdr:row>
      <xdr:rowOff>32657</xdr:rowOff>
    </xdr:from>
    <xdr:to>
      <xdr:col>10</xdr:col>
      <xdr:colOff>522514</xdr:colOff>
      <xdr:row>10</xdr:row>
      <xdr:rowOff>108858</xdr:rowOff>
    </xdr:to>
    <xdr:sp macro="" textlink="'pivot table'!$M$16">
      <xdr:nvSpPr>
        <xdr:cNvPr id="3" name="Rectangle: Diagonal Corners Rounded 2">
          <a:extLst>
            <a:ext uri="{FF2B5EF4-FFF2-40B4-BE49-F238E27FC236}">
              <a16:creationId xmlns:a16="http://schemas.microsoft.com/office/drawing/2014/main" id="{D5E6D026-4C08-4744-BB2E-A9BE84524B55}"/>
            </a:ext>
          </a:extLst>
        </xdr:cNvPr>
        <xdr:cNvSpPr/>
      </xdr:nvSpPr>
      <xdr:spPr>
        <a:xfrm>
          <a:off x="4147457" y="772886"/>
          <a:ext cx="2471057" cy="1186543"/>
        </a:xfrm>
        <a:prstGeom prst="round2DiagRect">
          <a:avLst/>
        </a:prstGeom>
        <a:solidFill>
          <a:schemeClr val="bg2">
            <a:lumMod val="9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rgbClr val="000000"/>
              </a:solidFill>
              <a:latin typeface="Calibri"/>
              <a:ea typeface="Calibri"/>
              <a:cs typeface="Calibri"/>
            </a:rPr>
            <a:t>TOTAL PROFIT</a:t>
          </a:r>
        </a:p>
        <a:p>
          <a:pPr marL="0" indent="0" algn="ctr"/>
          <a:fld id="{2C3B4DAB-39A9-4710-A32E-D876E36F9B0C}" type="TxLink">
            <a:rPr lang="en-US" sz="2000" b="1" i="0" u="none" strike="noStrike">
              <a:solidFill>
                <a:srgbClr val="000000"/>
              </a:solidFill>
              <a:latin typeface="Calibri"/>
              <a:ea typeface="Calibri"/>
              <a:cs typeface="Calibri"/>
            </a:rPr>
            <a:pPr marL="0" indent="0" algn="ctr"/>
            <a:t>₹ 3,655</a:t>
          </a:fld>
          <a:endParaRPr lang="en-IN" sz="2000" b="1">
            <a:solidFill>
              <a:schemeClr val="lt1"/>
            </a:solidFill>
            <a:latin typeface="+mn-lt"/>
            <a:ea typeface="+mn-ea"/>
            <a:cs typeface="+mn-cs"/>
          </a:endParaRPr>
        </a:p>
      </xdr:txBody>
    </xdr:sp>
    <xdr:clientData/>
  </xdr:twoCellAnchor>
  <xdr:twoCellAnchor>
    <xdr:from>
      <xdr:col>11</xdr:col>
      <xdr:colOff>177800</xdr:colOff>
      <xdr:row>4</xdr:row>
      <xdr:rowOff>67129</xdr:rowOff>
    </xdr:from>
    <xdr:to>
      <xdr:col>15</xdr:col>
      <xdr:colOff>210457</xdr:colOff>
      <xdr:row>10</xdr:row>
      <xdr:rowOff>143330</xdr:rowOff>
    </xdr:to>
    <xdr:sp macro="" textlink="'pivot table'!$M$20">
      <xdr:nvSpPr>
        <xdr:cNvPr id="4" name="Rectangle: Diagonal Corners Rounded 3">
          <a:extLst>
            <a:ext uri="{FF2B5EF4-FFF2-40B4-BE49-F238E27FC236}">
              <a16:creationId xmlns:a16="http://schemas.microsoft.com/office/drawing/2014/main" id="{7560C9BD-252A-4E7D-92DF-DCBEF02EF7B9}"/>
            </a:ext>
          </a:extLst>
        </xdr:cNvPr>
        <xdr:cNvSpPr/>
      </xdr:nvSpPr>
      <xdr:spPr>
        <a:xfrm>
          <a:off x="6883400" y="778329"/>
          <a:ext cx="2471057" cy="1143001"/>
        </a:xfrm>
        <a:prstGeom prst="round2DiagRect">
          <a:avLst>
            <a:gd name="adj1" fmla="val 11111"/>
            <a:gd name="adj2" fmla="val 0"/>
          </a:avLst>
        </a:prstGeom>
        <a:solidFill>
          <a:schemeClr val="bg2">
            <a:lumMod val="9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rgbClr val="000000"/>
              </a:solidFill>
              <a:latin typeface="Calibri"/>
              <a:ea typeface="Calibri"/>
              <a:cs typeface="Calibri"/>
            </a:rPr>
            <a:t>TOTAL AVERAGE</a:t>
          </a:r>
        </a:p>
        <a:p>
          <a:pPr marL="0" indent="0" algn="ctr"/>
          <a:fld id="{EB86AD5F-426F-4A1D-9AE4-0EB1ACD1E2D9}" type="TxLink">
            <a:rPr lang="en-US" sz="2000" b="1" i="0" u="none" strike="noStrike">
              <a:solidFill>
                <a:srgbClr val="000000"/>
              </a:solidFill>
              <a:latin typeface="Calibri"/>
              <a:ea typeface="Calibri"/>
              <a:cs typeface="Calibri"/>
            </a:rPr>
            <a:pPr marL="0" indent="0" algn="ctr"/>
            <a:t>₹ 546</a:t>
          </a:fld>
          <a:endParaRPr lang="en-IN" sz="2000" b="1" i="0" u="none" strike="noStrike">
            <a:solidFill>
              <a:srgbClr val="000000"/>
            </a:solidFill>
            <a:latin typeface="Calibri"/>
            <a:ea typeface="Calibri"/>
            <a:cs typeface="Calibri"/>
          </a:endParaRPr>
        </a:p>
      </xdr:txBody>
    </xdr:sp>
    <xdr:clientData/>
  </xdr:twoCellAnchor>
  <xdr:twoCellAnchor>
    <xdr:from>
      <xdr:col>16</xdr:col>
      <xdr:colOff>21772</xdr:colOff>
      <xdr:row>4</xdr:row>
      <xdr:rowOff>65314</xdr:rowOff>
    </xdr:from>
    <xdr:to>
      <xdr:col>20</xdr:col>
      <xdr:colOff>54429</xdr:colOff>
      <xdr:row>10</xdr:row>
      <xdr:rowOff>141515</xdr:rowOff>
    </xdr:to>
    <xdr:sp macro="" textlink="'pivot table'!$M$24">
      <xdr:nvSpPr>
        <xdr:cNvPr id="5" name="Rectangle: Diagonal Corners Rounded 4">
          <a:extLst>
            <a:ext uri="{FF2B5EF4-FFF2-40B4-BE49-F238E27FC236}">
              <a16:creationId xmlns:a16="http://schemas.microsoft.com/office/drawing/2014/main" id="{88886109-60F1-41E3-AA12-EFC932179D9B}"/>
            </a:ext>
          </a:extLst>
        </xdr:cNvPr>
        <xdr:cNvSpPr/>
      </xdr:nvSpPr>
      <xdr:spPr>
        <a:xfrm>
          <a:off x="9775372" y="805543"/>
          <a:ext cx="2471057" cy="1186543"/>
        </a:xfrm>
        <a:prstGeom prst="round2DiagRect">
          <a:avLst/>
        </a:prstGeom>
        <a:solidFill>
          <a:schemeClr val="bg2">
            <a:lumMod val="9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rgbClr val="000000"/>
              </a:solidFill>
              <a:latin typeface="Calibri"/>
              <a:ea typeface="Calibri"/>
              <a:cs typeface="Calibri"/>
            </a:rPr>
            <a:t>TOTAL ORDER</a:t>
          </a:r>
        </a:p>
        <a:p>
          <a:pPr marL="0" indent="0" algn="ctr"/>
          <a:fld id="{7A30E26B-F973-4205-8DBC-04E6EF9E858B}" type="TxLink">
            <a:rPr lang="en-US" sz="2000" b="1" i="0" u="none" strike="noStrike">
              <a:solidFill>
                <a:srgbClr val="000000"/>
              </a:solidFill>
              <a:latin typeface="Calibri"/>
              <a:ea typeface="Calibri"/>
              <a:cs typeface="Calibri"/>
            </a:rPr>
            <a:pPr marL="0" indent="0" algn="ctr"/>
            <a:t>28</a:t>
          </a:fld>
          <a:endParaRPr lang="en-IN" sz="2000" b="1">
            <a:solidFill>
              <a:schemeClr val="lt1"/>
            </a:solidFill>
            <a:latin typeface="+mn-lt"/>
            <a:ea typeface="+mn-ea"/>
            <a:cs typeface="+mn-cs"/>
          </a:endParaRPr>
        </a:p>
      </xdr:txBody>
    </xdr:sp>
    <xdr:clientData/>
  </xdr:twoCellAnchor>
  <xdr:twoCellAnchor>
    <xdr:from>
      <xdr:col>2</xdr:col>
      <xdr:colOff>152400</xdr:colOff>
      <xdr:row>11</xdr:row>
      <xdr:rowOff>32657</xdr:rowOff>
    </xdr:from>
    <xdr:to>
      <xdr:col>12</xdr:col>
      <xdr:colOff>45720</xdr:colOff>
      <xdr:row>23</xdr:row>
      <xdr:rowOff>59057</xdr:rowOff>
    </xdr:to>
    <xdr:graphicFrame macro="">
      <xdr:nvGraphicFramePr>
        <xdr:cNvPr id="6" name="Chart 5">
          <a:extLst>
            <a:ext uri="{FF2B5EF4-FFF2-40B4-BE49-F238E27FC236}">
              <a16:creationId xmlns:a16="http://schemas.microsoft.com/office/drawing/2014/main" id="{6E655027-8EA7-4656-8586-14D32DF95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380999</xdr:colOff>
      <xdr:row>23</xdr:row>
      <xdr:rowOff>112486</xdr:rowOff>
    </xdr:from>
    <xdr:to>
      <xdr:col>12</xdr:col>
      <xdr:colOff>0</xdr:colOff>
      <xdr:row>35</xdr:row>
      <xdr:rowOff>139700</xdr:rowOff>
    </xdr:to>
    <xdr:graphicFrame macro="">
      <xdr:nvGraphicFramePr>
        <xdr:cNvPr id="7" name="Chart 6">
          <a:extLst>
            <a:ext uri="{FF2B5EF4-FFF2-40B4-BE49-F238E27FC236}">
              <a16:creationId xmlns:a16="http://schemas.microsoft.com/office/drawing/2014/main" id="{EE48A5A0-A9B9-4C60-A784-781046BA7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169818</xdr:colOff>
      <xdr:row>11</xdr:row>
      <xdr:rowOff>8344</xdr:rowOff>
    </xdr:from>
    <xdr:to>
      <xdr:col>19</xdr:col>
      <xdr:colOff>149860</xdr:colOff>
      <xdr:row>46</xdr:row>
      <xdr:rowOff>91440</xdr:rowOff>
    </xdr:to>
    <xdr:graphicFrame macro="">
      <xdr:nvGraphicFramePr>
        <xdr:cNvPr id="8" name="Chart 7">
          <a:extLst>
            <a:ext uri="{FF2B5EF4-FFF2-40B4-BE49-F238E27FC236}">
              <a16:creationId xmlns:a16="http://schemas.microsoft.com/office/drawing/2014/main" id="{596E2B48-F7EE-46B0-B7CF-63F777A22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123370</xdr:colOff>
      <xdr:row>36</xdr:row>
      <xdr:rowOff>50799</xdr:rowOff>
    </xdr:from>
    <xdr:to>
      <xdr:col>12</xdr:col>
      <xdr:colOff>30479</xdr:colOff>
      <xdr:row>46</xdr:row>
      <xdr:rowOff>125104</xdr:rowOff>
    </xdr:to>
    <xdr:graphicFrame macro="">
      <xdr:nvGraphicFramePr>
        <xdr:cNvPr id="9" name="Chart 8">
          <a:extLst>
            <a:ext uri="{FF2B5EF4-FFF2-40B4-BE49-F238E27FC236}">
              <a16:creationId xmlns:a16="http://schemas.microsoft.com/office/drawing/2014/main" id="{3F3F09F8-0A0C-4825-9189-1BA0F81A9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177799</xdr:colOff>
      <xdr:row>23</xdr:row>
      <xdr:rowOff>137886</xdr:rowOff>
    </xdr:from>
    <xdr:to>
      <xdr:col>7</xdr:col>
      <xdr:colOff>190500</xdr:colOff>
      <xdr:row>35</xdr:row>
      <xdr:rowOff>139700</xdr:rowOff>
    </xdr:to>
    <xdr:graphicFrame macro="">
      <xdr:nvGraphicFramePr>
        <xdr:cNvPr id="10" name="Chart 9">
          <a:extLst>
            <a:ext uri="{FF2B5EF4-FFF2-40B4-BE49-F238E27FC236}">
              <a16:creationId xmlns:a16="http://schemas.microsoft.com/office/drawing/2014/main" id="{6B5234E3-B430-4EC8-94FC-20343E017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281576</xdr:colOff>
      <xdr:row>33</xdr:row>
      <xdr:rowOff>152399</xdr:rowOff>
    </xdr:from>
    <xdr:to>
      <xdr:col>29</xdr:col>
      <xdr:colOff>594359</xdr:colOff>
      <xdr:row>46</xdr:row>
      <xdr:rowOff>118290</xdr:rowOff>
    </xdr:to>
    <xdr:graphicFrame macro="">
      <xdr:nvGraphicFramePr>
        <xdr:cNvPr id="11" name="Chart 10">
          <a:extLst>
            <a:ext uri="{FF2B5EF4-FFF2-40B4-BE49-F238E27FC236}">
              <a16:creationId xmlns:a16="http://schemas.microsoft.com/office/drawing/2014/main" id="{F62A085E-8C54-4219-94AD-CDA78BBD2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261581</xdr:colOff>
      <xdr:row>11</xdr:row>
      <xdr:rowOff>34119</xdr:rowOff>
    </xdr:from>
    <xdr:to>
      <xdr:col>29</xdr:col>
      <xdr:colOff>545910</xdr:colOff>
      <xdr:row>33</xdr:row>
      <xdr:rowOff>70513</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733DC07-9376-4FF5-A812-3D8DDB01F0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843981" y="2045799"/>
              <a:ext cx="6380329" cy="40597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533400</xdr:colOff>
      <xdr:row>8</xdr:row>
      <xdr:rowOff>50800</xdr:rowOff>
    </xdr:from>
    <xdr:to>
      <xdr:col>35</xdr:col>
      <xdr:colOff>165100</xdr:colOff>
      <xdr:row>16</xdr:row>
      <xdr:rowOff>127000</xdr:rowOff>
    </xdr:to>
    <xdr:sp macro="" textlink="">
      <xdr:nvSpPr>
        <xdr:cNvPr id="13" name="Arrow: Left 12">
          <a:hlinkClick xmlns:r="http://schemas.openxmlformats.org/officeDocument/2006/relationships" r:id="rId8"/>
          <a:extLst>
            <a:ext uri="{FF2B5EF4-FFF2-40B4-BE49-F238E27FC236}">
              <a16:creationId xmlns:a16="http://schemas.microsoft.com/office/drawing/2014/main" id="{C69C79F3-8390-4184-8C3B-70984CD5DDA9}"/>
            </a:ext>
          </a:extLst>
        </xdr:cNvPr>
        <xdr:cNvSpPr/>
      </xdr:nvSpPr>
      <xdr:spPr>
        <a:xfrm>
          <a:off x="19431000" y="1473200"/>
          <a:ext cx="2070100" cy="14986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Click</a:t>
          </a:r>
          <a:r>
            <a:rPr lang="en-IN" sz="1600" b="1" baseline="0">
              <a:solidFill>
                <a:schemeClr val="tx1"/>
              </a:solidFill>
            </a:rPr>
            <a:t> to see </a:t>
          </a:r>
        </a:p>
        <a:p>
          <a:pPr algn="ctr"/>
          <a:r>
            <a:rPr lang="en-IN" sz="1600" b="1" baseline="0">
              <a:solidFill>
                <a:schemeClr val="tx1"/>
              </a:solidFill>
            </a:rPr>
            <a:t>piovt table</a:t>
          </a:r>
          <a:endParaRPr lang="en-IN" sz="1600" b="1">
            <a:solidFill>
              <a:schemeClr val="tx1"/>
            </a:solidFill>
          </a:endParaRPr>
        </a:p>
      </xdr:txBody>
    </xdr:sp>
    <xdr:clientData/>
  </xdr:twoCellAnchor>
  <xdr:twoCellAnchor editAs="oneCell">
    <xdr:from>
      <xdr:col>25</xdr:col>
      <xdr:colOff>101600</xdr:colOff>
      <xdr:row>2</xdr:row>
      <xdr:rowOff>7621</xdr:rowOff>
    </xdr:from>
    <xdr:to>
      <xdr:col>29</xdr:col>
      <xdr:colOff>416560</xdr:colOff>
      <xdr:row>10</xdr:row>
      <xdr:rowOff>101601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7BEDB466-AF5D-4268-9D7B-4333A395D6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41600" y="363221"/>
              <a:ext cx="275336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428172</xdr:colOff>
      <xdr:row>4</xdr:row>
      <xdr:rowOff>30843</xdr:rowOff>
    </xdr:from>
    <xdr:to>
      <xdr:col>24</xdr:col>
      <xdr:colOff>460829</xdr:colOff>
      <xdr:row>10</xdr:row>
      <xdr:rowOff>107044</xdr:rowOff>
    </xdr:to>
    <xdr:sp macro="" textlink="'pivot table'!$M$27">
      <xdr:nvSpPr>
        <xdr:cNvPr id="15" name="Rectangle: Diagonal Corners Rounded 14">
          <a:extLst>
            <a:ext uri="{FF2B5EF4-FFF2-40B4-BE49-F238E27FC236}">
              <a16:creationId xmlns:a16="http://schemas.microsoft.com/office/drawing/2014/main" id="{84462E5E-BC97-405F-9EC3-12A7F4979ACE}"/>
            </a:ext>
          </a:extLst>
        </xdr:cNvPr>
        <xdr:cNvSpPr/>
      </xdr:nvSpPr>
      <xdr:spPr>
        <a:xfrm>
          <a:off x="12620172" y="742043"/>
          <a:ext cx="2471057" cy="1143001"/>
        </a:xfrm>
        <a:prstGeom prst="round2DiagRect">
          <a:avLst/>
        </a:prstGeom>
        <a:solidFill>
          <a:schemeClr val="bg2">
            <a:lumMod val="9000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rgbClr val="000000"/>
              </a:solidFill>
              <a:latin typeface="Calibri"/>
              <a:ea typeface="Calibri"/>
              <a:cs typeface="Calibri"/>
            </a:rPr>
            <a:t>TOTAL COST</a:t>
          </a:r>
        </a:p>
        <a:p>
          <a:pPr marL="0" indent="0" algn="ctr"/>
          <a:fld id="{B12F4005-CF0E-431F-854E-45F84BEA4AF1}" type="TxLink">
            <a:rPr lang="en-US" sz="2000" b="1" i="0" u="none" strike="noStrike">
              <a:solidFill>
                <a:srgbClr val="000000"/>
              </a:solidFill>
              <a:latin typeface="Calibri"/>
              <a:ea typeface="Calibri"/>
              <a:cs typeface="Calibri"/>
            </a:rPr>
            <a:pPr marL="0" indent="0" algn="ctr"/>
            <a:t>₹ 11,645</a:t>
          </a:fld>
          <a:endParaRPr lang="en-US" sz="2000" b="1" i="0" u="none" strike="noStrike">
            <a:solidFill>
              <a:srgbClr val="000000"/>
            </a:solidFill>
            <a:latin typeface="Calibri"/>
            <a:ea typeface="Calibri"/>
            <a:cs typeface="Calibri"/>
          </a:endParaRPr>
        </a:p>
      </xdr:txBody>
    </xdr:sp>
    <xdr:clientData/>
  </xdr:twoCellAnchor>
  <xdr:twoCellAnchor editAs="oneCell">
    <xdr:from>
      <xdr:col>2</xdr:col>
      <xdr:colOff>304800</xdr:colOff>
      <xdr:row>7</xdr:row>
      <xdr:rowOff>76200</xdr:rowOff>
    </xdr:from>
    <xdr:to>
      <xdr:col>3</xdr:col>
      <xdr:colOff>241300</xdr:colOff>
      <xdr:row>10</xdr:row>
      <xdr:rowOff>88900</xdr:rowOff>
    </xdr:to>
    <xdr:pic>
      <xdr:nvPicPr>
        <xdr:cNvPr id="17" name="Picture 16">
          <a:extLst>
            <a:ext uri="{FF2B5EF4-FFF2-40B4-BE49-F238E27FC236}">
              <a16:creationId xmlns:a16="http://schemas.microsoft.com/office/drawing/2014/main" id="{6ED9DBA8-F117-49BA-8644-CCAF05C7A44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24000" y="1320800"/>
          <a:ext cx="546100" cy="546100"/>
        </a:xfrm>
        <a:prstGeom prst="rect">
          <a:avLst/>
        </a:prstGeom>
      </xdr:spPr>
    </xdr:pic>
    <xdr:clientData/>
  </xdr:twoCellAnchor>
  <xdr:twoCellAnchor editAs="oneCell">
    <xdr:from>
      <xdr:col>2</xdr:col>
      <xdr:colOff>76201</xdr:colOff>
      <xdr:row>1</xdr:row>
      <xdr:rowOff>25401</xdr:rowOff>
    </xdr:from>
    <xdr:to>
      <xdr:col>3</xdr:col>
      <xdr:colOff>0</xdr:colOff>
      <xdr:row>4</xdr:row>
      <xdr:rowOff>25400</xdr:rowOff>
    </xdr:to>
    <xdr:pic>
      <xdr:nvPicPr>
        <xdr:cNvPr id="21" name="Picture 20">
          <a:extLst>
            <a:ext uri="{FF2B5EF4-FFF2-40B4-BE49-F238E27FC236}">
              <a16:creationId xmlns:a16="http://schemas.microsoft.com/office/drawing/2014/main" id="{20B748FD-314A-4C94-A11C-FE09EFC7687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95401" y="203201"/>
          <a:ext cx="533399" cy="533399"/>
        </a:xfrm>
        <a:prstGeom prst="rect">
          <a:avLst/>
        </a:prstGeom>
      </xdr:spPr>
    </xdr:pic>
    <xdr:clientData/>
  </xdr:twoCellAnchor>
  <xdr:twoCellAnchor editAs="oneCell">
    <xdr:from>
      <xdr:col>6</xdr:col>
      <xdr:colOff>520700</xdr:colOff>
      <xdr:row>7</xdr:row>
      <xdr:rowOff>88900</xdr:rowOff>
    </xdr:from>
    <xdr:to>
      <xdr:col>7</xdr:col>
      <xdr:colOff>444500</xdr:colOff>
      <xdr:row>10</xdr:row>
      <xdr:rowOff>88900</xdr:rowOff>
    </xdr:to>
    <xdr:pic>
      <xdr:nvPicPr>
        <xdr:cNvPr id="23" name="Picture 22">
          <a:extLst>
            <a:ext uri="{FF2B5EF4-FFF2-40B4-BE49-F238E27FC236}">
              <a16:creationId xmlns:a16="http://schemas.microsoft.com/office/drawing/2014/main" id="{4EDB4203-4176-481D-9A70-C003A45D928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178300" y="1333500"/>
          <a:ext cx="533400" cy="533400"/>
        </a:xfrm>
        <a:prstGeom prst="rect">
          <a:avLst/>
        </a:prstGeom>
      </xdr:spPr>
    </xdr:pic>
    <xdr:clientData/>
  </xdr:twoCellAnchor>
  <xdr:twoCellAnchor editAs="oneCell">
    <xdr:from>
      <xdr:col>16</xdr:col>
      <xdr:colOff>88901</xdr:colOff>
      <xdr:row>7</xdr:row>
      <xdr:rowOff>88901</xdr:rowOff>
    </xdr:from>
    <xdr:to>
      <xdr:col>17</xdr:col>
      <xdr:colOff>25400</xdr:colOff>
      <xdr:row>10</xdr:row>
      <xdr:rowOff>101600</xdr:rowOff>
    </xdr:to>
    <xdr:pic>
      <xdr:nvPicPr>
        <xdr:cNvPr id="27" name="Picture 26">
          <a:extLst>
            <a:ext uri="{FF2B5EF4-FFF2-40B4-BE49-F238E27FC236}">
              <a16:creationId xmlns:a16="http://schemas.microsoft.com/office/drawing/2014/main" id="{2B360662-3DB5-4783-AE19-AF121AA3452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842501" y="1333501"/>
          <a:ext cx="546099" cy="546099"/>
        </a:xfrm>
        <a:prstGeom prst="rect">
          <a:avLst/>
        </a:prstGeom>
      </xdr:spPr>
    </xdr:pic>
    <xdr:clientData/>
  </xdr:twoCellAnchor>
  <xdr:twoCellAnchor editAs="oneCell">
    <xdr:from>
      <xdr:col>11</xdr:col>
      <xdr:colOff>228600</xdr:colOff>
      <xdr:row>7</xdr:row>
      <xdr:rowOff>63500</xdr:rowOff>
    </xdr:from>
    <xdr:to>
      <xdr:col>12</xdr:col>
      <xdr:colOff>203200</xdr:colOff>
      <xdr:row>10</xdr:row>
      <xdr:rowOff>114300</xdr:rowOff>
    </xdr:to>
    <xdr:pic>
      <xdr:nvPicPr>
        <xdr:cNvPr id="29" name="Picture 28">
          <a:extLst>
            <a:ext uri="{FF2B5EF4-FFF2-40B4-BE49-F238E27FC236}">
              <a16:creationId xmlns:a16="http://schemas.microsoft.com/office/drawing/2014/main" id="{EA115008-BEDF-47D1-BB47-201BEA4F13D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934200" y="1308100"/>
          <a:ext cx="584200" cy="584200"/>
        </a:xfrm>
        <a:prstGeom prst="rect">
          <a:avLst/>
        </a:prstGeom>
      </xdr:spPr>
    </xdr:pic>
    <xdr:clientData/>
  </xdr:twoCellAnchor>
  <xdr:twoCellAnchor editAs="oneCell">
    <xdr:from>
      <xdr:col>20</xdr:col>
      <xdr:colOff>495300</xdr:colOff>
      <xdr:row>7</xdr:row>
      <xdr:rowOff>63500</xdr:rowOff>
    </xdr:from>
    <xdr:to>
      <xdr:col>21</xdr:col>
      <xdr:colOff>379185</xdr:colOff>
      <xdr:row>10</xdr:row>
      <xdr:rowOff>61545</xdr:rowOff>
    </xdr:to>
    <xdr:pic>
      <xdr:nvPicPr>
        <xdr:cNvPr id="31" name="Picture 30">
          <a:extLst>
            <a:ext uri="{FF2B5EF4-FFF2-40B4-BE49-F238E27FC236}">
              <a16:creationId xmlns:a16="http://schemas.microsoft.com/office/drawing/2014/main" id="{5CECDD6B-6CBD-4A9F-8017-C9A29CE6D75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687300" y="1308100"/>
          <a:ext cx="493485" cy="53144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refreshedDate="46232.42928877315" createdVersion="7" refreshedVersion="7" minRefreshableVersion="3" recordCount="28" xr:uid="{D6586FCB-51D6-4D3F-A52B-2487E939CC85}">
  <cacheSource type="worksheet">
    <worksheetSource ref="A1:P29" sheet="sale"/>
  </cacheSource>
  <cacheFields count="16">
    <cacheField name="Order ID" numFmtId="0">
      <sharedItems count="28">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haredItems>
    </cacheField>
    <cacheField name="Date" numFmtId="15">
      <sharedItems containsSemiMixedTypes="0" containsNonDate="0" containsDate="1" containsString="0" minDate="2026-01-05T00:00:00" maxDate="2026-03-31T00:00:00"/>
    </cacheField>
    <cacheField name="Region" numFmtId="0">
      <sharedItems count="4">
        <s v="North"/>
        <s v="West"/>
        <s v="South"/>
        <s v="East"/>
      </sharedItems>
    </cacheField>
    <cacheField name="State" numFmtId="0">
      <sharedItems count="18">
        <s v="Delhi"/>
        <s v="Maharashtra"/>
        <s v="Karnataka"/>
        <s v="West Bengal"/>
        <s v="Punjab"/>
        <s v="Gujarat"/>
        <s v="Telangana"/>
        <s v="Odisha"/>
        <s v="Uttar Pradesh"/>
        <s v="Rajasthan"/>
        <s v="Tamil Nadu"/>
        <s v="Bihar"/>
        <s v="Haryana"/>
        <s v="Goa"/>
        <s v="Kerala"/>
        <s v="Assam"/>
        <s v="Andhra Pradesh"/>
        <s v="Jharkhand"/>
      </sharedItems>
    </cacheField>
    <cacheField name="City" numFmtId="0">
      <sharedItems count="28">
        <s v="Delhi"/>
        <s v="Mumbai"/>
        <s v="Bengaluru"/>
        <s v="Kolkata"/>
        <s v="Ludhiana"/>
        <s v="Ahmedabad"/>
        <s v="Hyderabad"/>
        <s v="Bhubaneswar"/>
        <s v="Lucknow"/>
        <s v="Jaipur"/>
        <s v="Chennai"/>
        <s v="Patna"/>
        <s v="Gurgaon"/>
        <s v="Panaji"/>
        <s v="Kochi"/>
        <s v="Guwahati"/>
        <s v="Jodhpur"/>
        <s v="Pune"/>
        <s v="Vijayawada"/>
        <s v="Ranchi"/>
        <s v="Noida"/>
        <s v="Surat"/>
        <s v="Mysore"/>
        <s v="Cuttack"/>
        <s v="Amritsar"/>
        <s v="Nashik"/>
        <s v="Madurai"/>
        <s v="Siliguri"/>
      </sharedItems>
    </cacheField>
    <cacheField name="Customer Name" numFmtId="0">
      <sharedItems/>
    </cacheField>
    <cacheField name="Segment" numFmtId="0">
      <sharedItems count="3">
        <s v="Consumer"/>
        <s v="Corporate"/>
        <s v="Home Office"/>
      </sharedItems>
    </cacheField>
    <cacheField name="Category" numFmtId="0">
      <sharedItems count="4">
        <s v="Electronics"/>
        <s v="Furniture"/>
        <s v="Office Supplies"/>
        <s v="Technology"/>
      </sharedItems>
    </cacheField>
    <cacheField name="Product" numFmtId="0">
      <sharedItems count="25">
        <s v="Laptop"/>
        <s v="Office Chair"/>
        <s v="Mobile"/>
        <s v="Paper Pack"/>
        <s v="Printer"/>
        <s v="Table"/>
        <s v="Monitor"/>
        <s v="Pen Pack"/>
        <s v="Tablet"/>
        <s v="Sofa"/>
        <s v="Camera"/>
        <s v="Desk"/>
        <s v="Keyboard"/>
        <s v="File Folder"/>
        <s v="Cabinet"/>
        <s v="Headphones"/>
        <s v="Scanner"/>
        <s v="Bookshelf"/>
        <s v="Laptop Bag"/>
        <s v="Notebook"/>
        <s v="Smart Watch"/>
        <s v="Chair"/>
        <s v="Speaker"/>
        <s v="Stapler"/>
        <s v="Mouse"/>
      </sharedItems>
    </cacheField>
    <cacheField name="Sales Rep" numFmtId="0">
      <sharedItems count="4">
        <s v="Rahul"/>
        <s v="Sneha"/>
        <s v="Ajay"/>
        <s v="Pooja"/>
      </sharedItems>
    </cacheField>
    <cacheField name="Units" numFmtId="0">
      <sharedItems containsSemiMixedTypes="0" containsString="0" containsNumber="1" containsInteger="1" minValue="1" maxValue="25"/>
    </cacheField>
    <cacheField name="Sales" numFmtId="0">
      <sharedItems containsSemiMixedTypes="0" containsString="0" containsNumber="1" containsInteger="1" minValue="80" maxValue="1700"/>
    </cacheField>
    <cacheField name="Cost" numFmtId="0">
      <sharedItems containsSemiMixedTypes="0" containsString="0" containsNumber="1" containsInteger="1" minValue="55" maxValue="1450"/>
    </cacheField>
    <cacheField name="Profit" numFmtId="0">
      <sharedItems containsSemiMixedTypes="0" containsString="0" containsNumber="1" containsInteger="1" minValue="25" maxValue="270"/>
    </cacheField>
    <cacheField name="Payment Mode" numFmtId="0">
      <sharedItems/>
    </cacheField>
    <cacheField name="Ship Mode" numFmtId="0">
      <sharedItems/>
    </cacheField>
  </cacheFields>
  <extLst>
    <ext xmlns:x14="http://schemas.microsoft.com/office/spreadsheetml/2009/9/main" uri="{725AE2AE-9491-48be-B2B4-4EB974FC3084}">
      <x14:pivotCacheDefinition pivotCacheId="1259051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d v="2026-01-05T00:00:00"/>
    <x v="0"/>
    <x v="0"/>
    <x v="0"/>
    <s v="Amit Sharma"/>
    <x v="0"/>
    <x v="0"/>
    <x v="0"/>
    <x v="0"/>
    <n v="2"/>
    <n v="1700"/>
    <n v="1450"/>
    <n v="250"/>
    <s v="UPI"/>
    <s v="Express"/>
  </r>
  <r>
    <x v="1"/>
    <d v="2026-01-07T00:00:00"/>
    <x v="1"/>
    <x v="1"/>
    <x v="1"/>
    <s v="Priya Patel"/>
    <x v="1"/>
    <x v="1"/>
    <x v="1"/>
    <x v="1"/>
    <n v="4"/>
    <n v="480"/>
    <n v="350"/>
    <n v="130"/>
    <s v="Credit Card"/>
    <s v="Standard"/>
  </r>
  <r>
    <x v="2"/>
    <d v="2026-01-10T00:00:00"/>
    <x v="2"/>
    <x v="2"/>
    <x v="2"/>
    <s v="Rohan Singh"/>
    <x v="0"/>
    <x v="0"/>
    <x v="2"/>
    <x v="2"/>
    <n v="3"/>
    <n v="1500"/>
    <n v="1230"/>
    <n v="270"/>
    <s v="Cash"/>
    <s v="Express"/>
  </r>
  <r>
    <x v="3"/>
    <d v="2026-01-12T00:00:00"/>
    <x v="3"/>
    <x v="3"/>
    <x v="3"/>
    <s v="Neha Verma"/>
    <x v="2"/>
    <x v="2"/>
    <x v="3"/>
    <x v="3"/>
    <n v="15"/>
    <n v="90"/>
    <n v="60"/>
    <n v="30"/>
    <s v="UPI"/>
    <s v="Standard"/>
  </r>
  <r>
    <x v="4"/>
    <d v="2026-01-15T00:00:00"/>
    <x v="0"/>
    <x v="4"/>
    <x v="4"/>
    <s v="Karan Gupta"/>
    <x v="1"/>
    <x v="3"/>
    <x v="4"/>
    <x v="0"/>
    <n v="1"/>
    <n v="320"/>
    <n v="250"/>
    <n v="70"/>
    <s v="Debit Card"/>
    <s v="Standard"/>
  </r>
  <r>
    <x v="5"/>
    <d v="2026-01-18T00:00:00"/>
    <x v="1"/>
    <x v="5"/>
    <x v="5"/>
    <s v="Simran Kaur"/>
    <x v="0"/>
    <x v="1"/>
    <x v="5"/>
    <x v="1"/>
    <n v="2"/>
    <n v="360"/>
    <n v="270"/>
    <n v="90"/>
    <s v="UPI"/>
    <s v="Express"/>
  </r>
  <r>
    <x v="6"/>
    <d v="2026-01-22T00:00:00"/>
    <x v="2"/>
    <x v="6"/>
    <x v="6"/>
    <s v="Arjun Rao"/>
    <x v="1"/>
    <x v="0"/>
    <x v="6"/>
    <x v="2"/>
    <n v="3"/>
    <n v="630"/>
    <n v="480"/>
    <n v="150"/>
    <s v="Credit Card"/>
    <s v="Standard"/>
  </r>
  <r>
    <x v="7"/>
    <d v="2026-01-25T00:00:00"/>
    <x v="3"/>
    <x v="7"/>
    <x v="7"/>
    <s v="Pooja Das"/>
    <x v="0"/>
    <x v="2"/>
    <x v="7"/>
    <x v="3"/>
    <n v="20"/>
    <n v="80"/>
    <n v="55"/>
    <n v="25"/>
    <s v="Cash"/>
    <s v="Economy"/>
  </r>
  <r>
    <x v="8"/>
    <d v="2026-01-28T00:00:00"/>
    <x v="0"/>
    <x v="8"/>
    <x v="8"/>
    <s v="Vivek Mishra"/>
    <x v="1"/>
    <x v="0"/>
    <x v="8"/>
    <x v="0"/>
    <n v="2"/>
    <n v="600"/>
    <n v="470"/>
    <n v="130"/>
    <s v="UPI"/>
    <s v="Express"/>
  </r>
  <r>
    <x v="9"/>
    <d v="2026-01-30T00:00:00"/>
    <x v="1"/>
    <x v="9"/>
    <x v="9"/>
    <s v="Meera Joshi"/>
    <x v="0"/>
    <x v="1"/>
    <x v="9"/>
    <x v="1"/>
    <n v="1"/>
    <n v="700"/>
    <n v="560"/>
    <n v="140"/>
    <s v="EMI"/>
    <s v="Standard"/>
  </r>
  <r>
    <x v="10"/>
    <d v="2026-02-02T00:00:00"/>
    <x v="2"/>
    <x v="10"/>
    <x v="10"/>
    <s v="Anil Kumar"/>
    <x v="0"/>
    <x v="0"/>
    <x v="10"/>
    <x v="2"/>
    <n v="2"/>
    <n v="900"/>
    <n v="700"/>
    <n v="200"/>
    <s v="UPI"/>
    <s v="Express"/>
  </r>
  <r>
    <x v="11"/>
    <d v="2026-02-05T00:00:00"/>
    <x v="3"/>
    <x v="11"/>
    <x v="11"/>
    <s v="Kavita Singh"/>
    <x v="1"/>
    <x v="1"/>
    <x v="11"/>
    <x v="3"/>
    <n v="3"/>
    <n v="450"/>
    <n v="330"/>
    <n v="120"/>
    <s v="Cash"/>
    <s v="Standard"/>
  </r>
  <r>
    <x v="12"/>
    <d v="2026-02-08T00:00:00"/>
    <x v="0"/>
    <x v="12"/>
    <x v="12"/>
    <s v="Raj Malhotra"/>
    <x v="0"/>
    <x v="0"/>
    <x v="12"/>
    <x v="0"/>
    <n v="5"/>
    <n v="250"/>
    <n v="180"/>
    <n v="70"/>
    <s v="Card"/>
    <s v="Economy"/>
  </r>
  <r>
    <x v="13"/>
    <d v="2026-02-11T00:00:00"/>
    <x v="1"/>
    <x v="13"/>
    <x v="13"/>
    <s v="Sneha Shah"/>
    <x v="1"/>
    <x v="2"/>
    <x v="13"/>
    <x v="1"/>
    <n v="10"/>
    <n v="200"/>
    <n v="130"/>
    <n v="70"/>
    <s v="UPI"/>
    <s v="Standard"/>
  </r>
  <r>
    <x v="14"/>
    <d v="2026-02-14T00:00:00"/>
    <x v="2"/>
    <x v="14"/>
    <x v="14"/>
    <s v="Deepak Nair"/>
    <x v="0"/>
    <x v="1"/>
    <x v="14"/>
    <x v="2"/>
    <n v="2"/>
    <n v="800"/>
    <n v="620"/>
    <n v="180"/>
    <s v="Credit Card"/>
    <s v="Express"/>
  </r>
  <r>
    <x v="15"/>
    <d v="2026-02-18T00:00:00"/>
    <x v="3"/>
    <x v="15"/>
    <x v="15"/>
    <s v="Riya Das"/>
    <x v="0"/>
    <x v="0"/>
    <x v="15"/>
    <x v="3"/>
    <n v="6"/>
    <n v="360"/>
    <n v="240"/>
    <n v="120"/>
    <s v="UPI"/>
    <s v="Economy"/>
  </r>
  <r>
    <x v="16"/>
    <d v="2026-02-21T00:00:00"/>
    <x v="0"/>
    <x v="9"/>
    <x v="16"/>
    <s v="Mohit Jain"/>
    <x v="1"/>
    <x v="3"/>
    <x v="16"/>
    <x v="0"/>
    <n v="1"/>
    <n v="400"/>
    <n v="300"/>
    <n v="100"/>
    <s v="Debit Card"/>
    <s v="Standard"/>
  </r>
  <r>
    <x v="17"/>
    <d v="2026-02-25T00:00:00"/>
    <x v="1"/>
    <x v="1"/>
    <x v="17"/>
    <s v="Nisha Patil"/>
    <x v="0"/>
    <x v="1"/>
    <x v="17"/>
    <x v="1"/>
    <n v="2"/>
    <n v="500"/>
    <n v="370"/>
    <n v="130"/>
    <s v="Cash"/>
    <s v="Express"/>
  </r>
  <r>
    <x v="18"/>
    <d v="2026-02-28T00:00:00"/>
    <x v="2"/>
    <x v="16"/>
    <x v="18"/>
    <s v="Suresh Rao"/>
    <x v="1"/>
    <x v="0"/>
    <x v="18"/>
    <x v="2"/>
    <n v="8"/>
    <n v="320"/>
    <n v="220"/>
    <n v="100"/>
    <s v="UPI"/>
    <s v="Standard"/>
  </r>
  <r>
    <x v="19"/>
    <d v="2026-03-03T00:00:00"/>
    <x v="3"/>
    <x v="17"/>
    <x v="19"/>
    <s v="Priya Roy"/>
    <x v="0"/>
    <x v="2"/>
    <x v="19"/>
    <x v="3"/>
    <n v="25"/>
    <n v="250"/>
    <n v="160"/>
    <n v="90"/>
    <s v="Cash"/>
    <s v="Economy"/>
  </r>
  <r>
    <x v="20"/>
    <d v="2026-03-06T00:00:00"/>
    <x v="0"/>
    <x v="0"/>
    <x v="20"/>
    <s v="Aman Verma"/>
    <x v="1"/>
    <x v="0"/>
    <x v="20"/>
    <x v="0"/>
    <n v="3"/>
    <n v="750"/>
    <n v="570"/>
    <n v="180"/>
    <s v="Card"/>
    <s v="Express"/>
  </r>
  <r>
    <x v="21"/>
    <d v="2026-03-10T00:00:00"/>
    <x v="1"/>
    <x v="5"/>
    <x v="21"/>
    <s v="Rakesh Patel"/>
    <x v="0"/>
    <x v="1"/>
    <x v="21"/>
    <x v="1"/>
    <n v="5"/>
    <n v="600"/>
    <n v="430"/>
    <n v="170"/>
    <s v="UPI"/>
    <s v="Standard"/>
  </r>
  <r>
    <x v="22"/>
    <d v="2026-03-14T00:00:00"/>
    <x v="2"/>
    <x v="2"/>
    <x v="22"/>
    <s v="Divya Rao"/>
    <x v="0"/>
    <x v="0"/>
    <x v="22"/>
    <x v="2"/>
    <n v="4"/>
    <n v="480"/>
    <n v="330"/>
    <n v="150"/>
    <s v="Credit Card"/>
    <s v="Express"/>
  </r>
  <r>
    <x v="23"/>
    <d v="2026-03-18T00:00:00"/>
    <x v="3"/>
    <x v="7"/>
    <x v="23"/>
    <s v="Rahul Das"/>
    <x v="1"/>
    <x v="2"/>
    <x v="23"/>
    <x v="3"/>
    <n v="12"/>
    <n v="240"/>
    <n v="150"/>
    <n v="90"/>
    <s v="Cash"/>
    <s v="Economy"/>
  </r>
  <r>
    <x v="24"/>
    <d v="2026-03-21T00:00:00"/>
    <x v="0"/>
    <x v="4"/>
    <x v="24"/>
    <s v="Harish Singh"/>
    <x v="0"/>
    <x v="0"/>
    <x v="8"/>
    <x v="0"/>
    <n v="2"/>
    <n v="550"/>
    <n v="420"/>
    <n v="130"/>
    <s v="UPI"/>
    <s v="Standard"/>
  </r>
  <r>
    <x v="25"/>
    <d v="2026-03-24T00:00:00"/>
    <x v="1"/>
    <x v="1"/>
    <x v="25"/>
    <s v="Alisha More"/>
    <x v="1"/>
    <x v="1"/>
    <x v="9"/>
    <x v="1"/>
    <n v="1"/>
    <n v="850"/>
    <n v="650"/>
    <n v="200"/>
    <s v="EMI"/>
    <s v="Express"/>
  </r>
  <r>
    <x v="26"/>
    <d v="2026-03-27T00:00:00"/>
    <x v="2"/>
    <x v="10"/>
    <x v="26"/>
    <s v="Kiran Kumar"/>
    <x v="0"/>
    <x v="3"/>
    <x v="4"/>
    <x v="2"/>
    <n v="2"/>
    <n v="640"/>
    <n v="470"/>
    <n v="170"/>
    <s v="Card"/>
    <s v="Standard"/>
  </r>
  <r>
    <x v="27"/>
    <d v="2026-03-30T00:00:00"/>
    <x v="3"/>
    <x v="3"/>
    <x v="27"/>
    <s v="Sneha Roy"/>
    <x v="0"/>
    <x v="0"/>
    <x v="24"/>
    <x v="3"/>
    <n v="10"/>
    <n v="300"/>
    <n v="200"/>
    <n v="100"/>
    <s v="UPI"/>
    <s v="Econom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2C3ECB-AC92-4ED7-9775-B2EA33164DE1}" name="segmen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J3:K7" firstHeaderRow="1" firstDataRow="1" firstDataCol="1"/>
  <pivotFields count="16">
    <pivotField showAll="0"/>
    <pivotField numFmtId="15" showAll="0"/>
    <pivotField showAll="0">
      <items count="5">
        <item x="3"/>
        <item x="0"/>
        <item x="2"/>
        <item x="1"/>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Sum of Sales" fld="11"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EB8EB7-CB5D-4057-8A34-79F9CA87E0E9}" name="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6">
    <pivotField showAll="0"/>
    <pivotField numFmtId="15"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fld="11"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590CF6-EE57-45CB-B432-E6FCC79FD486}" name="produc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J19:K45" firstHeaderRow="1" firstDataRow="1" firstDataCol="1"/>
  <pivotFields count="16">
    <pivotField showAll="0"/>
    <pivotField numFmtId="15" showAll="0"/>
    <pivotField showAll="0">
      <items count="5">
        <item x="3"/>
        <item x="0"/>
        <item x="2"/>
        <item x="1"/>
        <item t="default"/>
      </items>
    </pivotField>
    <pivotField showAll="0"/>
    <pivotField showAll="0"/>
    <pivotField showAll="0"/>
    <pivotField showAll="0"/>
    <pivotField showAll="0"/>
    <pivotField axis="axisRow" showAll="0">
      <items count="26">
        <item x="17"/>
        <item x="14"/>
        <item x="10"/>
        <item x="21"/>
        <item x="11"/>
        <item x="13"/>
        <item x="15"/>
        <item x="12"/>
        <item x="0"/>
        <item x="18"/>
        <item x="2"/>
        <item x="6"/>
        <item x="24"/>
        <item x="19"/>
        <item x="1"/>
        <item x="3"/>
        <item x="7"/>
        <item x="4"/>
        <item x="16"/>
        <item x="20"/>
        <item x="9"/>
        <item x="22"/>
        <item x="23"/>
        <item x="5"/>
        <item x="8"/>
        <item t="default"/>
      </items>
    </pivotField>
    <pivotField showAll="0">
      <items count="5">
        <item x="2"/>
        <item x="3"/>
        <item x="0"/>
        <item x="1"/>
        <item t="default"/>
      </items>
    </pivotField>
    <pivotField showAll="0"/>
    <pivotField dataField="1" showAll="0"/>
    <pivotField showAll="0"/>
    <pivotField showAll="0"/>
    <pivotField showAll="0"/>
    <pivotField showAll="0"/>
  </pivotFields>
  <rowFields count="1">
    <field x="8"/>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9211E-10F9-40FA-9E60-FCD842E0621B}" name="PivotTable1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M23:M24" firstHeaderRow="1" firstDataRow="1" firstDataCol="0"/>
  <pivotFields count="16">
    <pivotField dataFiel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umFmtId="15"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3E49BF-2ED5-4017-8C54-7AB3C34F16DE}" name="region by profi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1:B16" firstHeaderRow="1" firstDataRow="1" firstDataCol="1"/>
  <pivotFields count="16">
    <pivotField showAll="0"/>
    <pivotField numFmtId="15"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DAC85B-A621-437F-9AFD-E61A3FEB922F}"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M26:M27" firstHeaderRow="1" firstDataRow="1" firstDataCol="0"/>
  <pivotFields count="16">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umFmtId="15"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Cos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A0A9C5-B945-449F-B414-EFFBF79283CF}" name="cit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G3:H32" firstHeaderRow="1" firstDataRow="1" firstDataCol="1"/>
  <pivotFields count="16">
    <pivotField showAll="0"/>
    <pivotField numFmtId="15" showAll="0"/>
    <pivotField showAll="0">
      <items count="5">
        <item x="3"/>
        <item x="0"/>
        <item x="2"/>
        <item x="1"/>
        <item t="default"/>
      </items>
    </pivotField>
    <pivotField showAll="0"/>
    <pivotField axis="axisRow" showAll="0">
      <items count="29">
        <item x="5"/>
        <item x="24"/>
        <item x="2"/>
        <item x="7"/>
        <item x="10"/>
        <item x="23"/>
        <item x="0"/>
        <item x="12"/>
        <item x="15"/>
        <item x="6"/>
        <item x="9"/>
        <item x="16"/>
        <item x="14"/>
        <item x="3"/>
        <item x="8"/>
        <item x="4"/>
        <item x="26"/>
        <item x="1"/>
        <item x="22"/>
        <item x="25"/>
        <item x="20"/>
        <item x="13"/>
        <item x="11"/>
        <item x="17"/>
        <item x="19"/>
        <item x="27"/>
        <item x="21"/>
        <item x="18"/>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DC482E-788F-406C-87AD-DF16B02E98D5}" name="state"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D3:E22" firstHeaderRow="1" firstDataRow="1" firstDataCol="1"/>
  <pivotFields count="16">
    <pivotField showAll="0"/>
    <pivotField numFmtId="15" showAll="0"/>
    <pivotField showAll="0">
      <items count="5">
        <item x="3"/>
        <item x="0"/>
        <item x="2"/>
        <item x="1"/>
        <item t="default"/>
      </items>
    </pivotField>
    <pivotField axis="axisRow" showAll="0">
      <items count="19">
        <item x="16"/>
        <item x="15"/>
        <item x="11"/>
        <item x="0"/>
        <item x="13"/>
        <item x="5"/>
        <item x="12"/>
        <item x="17"/>
        <item x="2"/>
        <item x="14"/>
        <item x="1"/>
        <item x="7"/>
        <item x="4"/>
        <item x="9"/>
        <item x="10"/>
        <item x="6"/>
        <item x="8"/>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369D29-3EE3-437D-90CD-0B293F66B8C5}" name="categor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J11:L16" firstHeaderRow="0" firstDataRow="1" firstDataCol="1"/>
  <pivotFields count="16">
    <pivotField showAll="0"/>
    <pivotField numFmtId="15" showAll="0"/>
    <pivotField showAll="0">
      <items count="5">
        <item x="3"/>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dataField="1" showAll="0"/>
    <pivotField showAll="0"/>
    <pivotField dataField="1"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Sum of Sales" fld="11" baseField="0" baseItem="0"/>
    <dataField name="Sum of Profit" fld="13"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B4D330-50B5-4850-B4CC-A1C762ABED8C}"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M15:M16" firstHeaderRow="1" firstDataRow="1" firstDataCol="0"/>
  <pivotFields count="16">
    <pivotField showAll="0"/>
    <pivotField numFmtId="15"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B6BA34-7DFF-4247-9773-97ECF4A926D9}" name="sale rep"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M3:N8" firstHeaderRow="1" firstDataRow="1" firstDataCol="1"/>
  <pivotFields count="16">
    <pivotField showAll="0"/>
    <pivotField numFmtId="15" showAll="0"/>
    <pivotField showAll="0">
      <items count="5">
        <item x="3"/>
        <item x="0"/>
        <item x="2"/>
        <item x="1"/>
        <item t="default"/>
      </items>
    </pivotField>
    <pivotField showAll="0"/>
    <pivotField showAll="0"/>
    <pivotField showAll="0"/>
    <pivotField showAll="0"/>
    <pivotField showAll="0"/>
    <pivotField showAll="0"/>
    <pivotField axis="axisRow" showAll="0">
      <items count="5">
        <item x="2"/>
        <item x="3"/>
        <item x="0"/>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Sum of Sale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1BC909-6AD7-42C5-A062-434EABF9B0A9}"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M11:M12" firstHeaderRow="1" firstDataRow="1" firstDataCol="0"/>
  <pivotFields count="16">
    <pivotField showAll="0"/>
    <pivotField numFmtId="15" showAll="0"/>
    <pivotField showAll="0">
      <items count="5">
        <item x="3"/>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12C2DA-03E1-4C3B-B36C-1E212761A2FE}" name="PivotTable1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M19:M20" firstHeaderRow="1" firstDataRow="1" firstDataCol="0"/>
  <pivotFields count="16">
    <pivotField showAll="0"/>
    <pivotField numFmtId="15" showAll="0"/>
    <pivotField showAll="0">
      <items count="5">
        <item x="3"/>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Sales"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83600C-DC5C-4B63-9A37-C438CEA15BFB}" sourceName="Region">
  <pivotTables>
    <pivotTable tabId="2" name="category"/>
    <pivotTable tabId="2" name="city"/>
    <pivotTable tabId="2" name="PivotTable10"/>
    <pivotTable tabId="2" name="PivotTable11"/>
    <pivotTable tabId="2" name="PivotTable12"/>
    <pivotTable tabId="2" name="PivotTable13"/>
    <pivotTable tabId="2" name="product"/>
    <pivotTable tabId="2" name="region by profit"/>
    <pivotTable tabId="2" name="sale rep"/>
    <pivotTable tabId="2" name="segment"/>
    <pivotTable tabId="2" name="state"/>
    <pivotTable tabId="2" name="PivotTable2"/>
  </pivotTables>
  <data>
    <tabular pivotCacheId="125905132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FCAD63-84F1-4E68-B94E-F95D3CF985E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864605-C6F6-4280-B5C4-CD853A9D9A4B}" name="Table1" displayName="Table1" ref="O11:P29" totalsRowShown="0">
  <autoFilter ref="O11:P29" xr:uid="{57864605-C6F6-4280-B5C4-CD853A9D9A4B}"/>
  <tableColumns count="2">
    <tableColumn id="1" xr3:uid="{EF94F552-B81C-49A2-9A34-4A51B522D2F4}" name="Column1" dataDxfId="1"/>
    <tableColumn id="2" xr3:uid="{9D350B0B-7618-466A-8701-9354A3707879}"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C920-428B-4DD4-B183-552A005D0D74}">
  <dimension ref="A1:P29"/>
  <sheetViews>
    <sheetView workbookViewId="0"/>
  </sheetViews>
  <sheetFormatPr defaultRowHeight="14.4" x14ac:dyDescent="0.3"/>
  <cols>
    <col min="2" max="2" width="11.33203125" customWidth="1"/>
    <col min="4" max="4" width="12.44140625" customWidth="1"/>
  </cols>
  <sheetData>
    <row r="1" spans="1:16" ht="27.6" x14ac:dyDescent="0.3">
      <c r="A1" s="1" t="s">
        <v>0</v>
      </c>
      <c r="B1" s="2" t="s">
        <v>1</v>
      </c>
      <c r="C1" s="2" t="s">
        <v>2</v>
      </c>
      <c r="D1" s="2" t="s">
        <v>3</v>
      </c>
      <c r="E1" s="2" t="s">
        <v>4</v>
      </c>
      <c r="F1" s="2" t="s">
        <v>5</v>
      </c>
      <c r="G1" s="2" t="s">
        <v>6</v>
      </c>
      <c r="H1" s="2" t="s">
        <v>7</v>
      </c>
      <c r="I1" s="2" t="s">
        <v>8</v>
      </c>
      <c r="J1" s="2" t="s">
        <v>9</v>
      </c>
      <c r="K1" s="3" t="s">
        <v>10</v>
      </c>
      <c r="L1" s="3" t="s">
        <v>11</v>
      </c>
      <c r="M1" s="3" t="s">
        <v>12</v>
      </c>
      <c r="N1" s="3" t="s">
        <v>13</v>
      </c>
      <c r="O1" s="2" t="s">
        <v>14</v>
      </c>
      <c r="P1" s="4" t="s">
        <v>15</v>
      </c>
    </row>
    <row r="2" spans="1:16" ht="27.6" x14ac:dyDescent="0.3">
      <c r="A2" s="5" t="s">
        <v>16</v>
      </c>
      <c r="B2" s="6">
        <v>46027</v>
      </c>
      <c r="C2" s="7" t="s">
        <v>17</v>
      </c>
      <c r="D2" s="7" t="s">
        <v>18</v>
      </c>
      <c r="E2" s="7" t="s">
        <v>18</v>
      </c>
      <c r="F2" s="7" t="s">
        <v>19</v>
      </c>
      <c r="G2" s="7" t="s">
        <v>20</v>
      </c>
      <c r="H2" s="7" t="s">
        <v>21</v>
      </c>
      <c r="I2" s="7" t="s">
        <v>22</v>
      </c>
      <c r="J2" s="7" t="s">
        <v>23</v>
      </c>
      <c r="K2" s="8">
        <v>2</v>
      </c>
      <c r="L2" s="8">
        <v>1700</v>
      </c>
      <c r="M2" s="8">
        <v>1450</v>
      </c>
      <c r="N2" s="8">
        <v>250</v>
      </c>
      <c r="O2" s="7" t="s">
        <v>24</v>
      </c>
      <c r="P2" s="9" t="s">
        <v>25</v>
      </c>
    </row>
    <row r="3" spans="1:16" ht="27.6" x14ac:dyDescent="0.3">
      <c r="A3" s="10" t="s">
        <v>26</v>
      </c>
      <c r="B3" s="11">
        <v>46029</v>
      </c>
      <c r="C3" s="12" t="s">
        <v>27</v>
      </c>
      <c r="D3" s="12" t="s">
        <v>28</v>
      </c>
      <c r="E3" s="12" t="s">
        <v>29</v>
      </c>
      <c r="F3" s="12" t="s">
        <v>30</v>
      </c>
      <c r="G3" s="12" t="s">
        <v>31</v>
      </c>
      <c r="H3" s="12" t="s">
        <v>32</v>
      </c>
      <c r="I3" s="12" t="s">
        <v>33</v>
      </c>
      <c r="J3" s="12" t="s">
        <v>34</v>
      </c>
      <c r="K3" s="13">
        <v>4</v>
      </c>
      <c r="L3" s="13">
        <v>480</v>
      </c>
      <c r="M3" s="13">
        <v>350</v>
      </c>
      <c r="N3" s="13">
        <v>130</v>
      </c>
      <c r="O3" s="12" t="s">
        <v>35</v>
      </c>
      <c r="P3" s="14" t="s">
        <v>36</v>
      </c>
    </row>
    <row r="4" spans="1:16" ht="27.6" x14ac:dyDescent="0.3">
      <c r="A4" s="5" t="s">
        <v>37</v>
      </c>
      <c r="B4" s="6">
        <v>46032</v>
      </c>
      <c r="C4" s="7" t="s">
        <v>38</v>
      </c>
      <c r="D4" s="7" t="s">
        <v>39</v>
      </c>
      <c r="E4" s="7" t="s">
        <v>40</v>
      </c>
      <c r="F4" s="7" t="s">
        <v>41</v>
      </c>
      <c r="G4" s="7" t="s">
        <v>20</v>
      </c>
      <c r="H4" s="7" t="s">
        <v>21</v>
      </c>
      <c r="I4" s="7" t="s">
        <v>42</v>
      </c>
      <c r="J4" s="7" t="s">
        <v>43</v>
      </c>
      <c r="K4" s="8">
        <v>3</v>
      </c>
      <c r="L4" s="8">
        <v>1500</v>
      </c>
      <c r="M4" s="8">
        <v>1230</v>
      </c>
      <c r="N4" s="8">
        <v>270</v>
      </c>
      <c r="O4" s="7" t="s">
        <v>44</v>
      </c>
      <c r="P4" s="9" t="s">
        <v>25</v>
      </c>
    </row>
    <row r="5" spans="1:16" ht="27.6" x14ac:dyDescent="0.3">
      <c r="A5" s="10" t="s">
        <v>45</v>
      </c>
      <c r="B5" s="11">
        <v>46034</v>
      </c>
      <c r="C5" s="12" t="s">
        <v>46</v>
      </c>
      <c r="D5" s="12" t="s">
        <v>47</v>
      </c>
      <c r="E5" s="12" t="s">
        <v>48</v>
      </c>
      <c r="F5" s="12" t="s">
        <v>49</v>
      </c>
      <c r="G5" s="12" t="s">
        <v>50</v>
      </c>
      <c r="H5" s="12" t="s">
        <v>51</v>
      </c>
      <c r="I5" s="12" t="s">
        <v>52</v>
      </c>
      <c r="J5" s="12" t="s">
        <v>53</v>
      </c>
      <c r="K5" s="13">
        <v>15</v>
      </c>
      <c r="L5" s="13">
        <v>90</v>
      </c>
      <c r="M5" s="13">
        <v>60</v>
      </c>
      <c r="N5" s="13">
        <v>30</v>
      </c>
      <c r="O5" s="12" t="s">
        <v>24</v>
      </c>
      <c r="P5" s="14" t="s">
        <v>36</v>
      </c>
    </row>
    <row r="6" spans="1:16" ht="27.6" x14ac:dyDescent="0.3">
      <c r="A6" s="5" t="s">
        <v>54</v>
      </c>
      <c r="B6" s="6">
        <v>46037</v>
      </c>
      <c r="C6" s="7" t="s">
        <v>17</v>
      </c>
      <c r="D6" s="7" t="s">
        <v>55</v>
      </c>
      <c r="E6" s="7" t="s">
        <v>56</v>
      </c>
      <c r="F6" s="7" t="s">
        <v>57</v>
      </c>
      <c r="G6" s="7" t="s">
        <v>31</v>
      </c>
      <c r="H6" s="7" t="s">
        <v>58</v>
      </c>
      <c r="I6" s="7" t="s">
        <v>59</v>
      </c>
      <c r="J6" s="7" t="s">
        <v>23</v>
      </c>
      <c r="K6" s="8">
        <v>1</v>
      </c>
      <c r="L6" s="8">
        <v>320</v>
      </c>
      <c r="M6" s="8">
        <v>250</v>
      </c>
      <c r="N6" s="8">
        <v>70</v>
      </c>
      <c r="O6" s="7" t="s">
        <v>60</v>
      </c>
      <c r="P6" s="9" t="s">
        <v>36</v>
      </c>
    </row>
    <row r="7" spans="1:16" ht="27.6" x14ac:dyDescent="0.3">
      <c r="A7" s="10" t="s">
        <v>61</v>
      </c>
      <c r="B7" s="11">
        <v>46040</v>
      </c>
      <c r="C7" s="12" t="s">
        <v>27</v>
      </c>
      <c r="D7" s="12" t="s">
        <v>62</v>
      </c>
      <c r="E7" s="12" t="s">
        <v>63</v>
      </c>
      <c r="F7" s="12" t="s">
        <v>64</v>
      </c>
      <c r="G7" s="12" t="s">
        <v>20</v>
      </c>
      <c r="H7" s="12" t="s">
        <v>32</v>
      </c>
      <c r="I7" s="12" t="s">
        <v>65</v>
      </c>
      <c r="J7" s="12" t="s">
        <v>34</v>
      </c>
      <c r="K7" s="13">
        <v>2</v>
      </c>
      <c r="L7" s="13">
        <v>360</v>
      </c>
      <c r="M7" s="13">
        <v>270</v>
      </c>
      <c r="N7" s="13">
        <v>90</v>
      </c>
      <c r="O7" s="12" t="s">
        <v>24</v>
      </c>
      <c r="P7" s="14" t="s">
        <v>25</v>
      </c>
    </row>
    <row r="8" spans="1:16" ht="27.6" x14ac:dyDescent="0.3">
      <c r="A8" s="5" t="s">
        <v>66</v>
      </c>
      <c r="B8" s="6">
        <v>46044</v>
      </c>
      <c r="C8" s="7" t="s">
        <v>38</v>
      </c>
      <c r="D8" s="7" t="s">
        <v>67</v>
      </c>
      <c r="E8" s="7" t="s">
        <v>68</v>
      </c>
      <c r="F8" s="7" t="s">
        <v>69</v>
      </c>
      <c r="G8" s="7" t="s">
        <v>31</v>
      </c>
      <c r="H8" s="7" t="s">
        <v>21</v>
      </c>
      <c r="I8" s="7" t="s">
        <v>70</v>
      </c>
      <c r="J8" s="7" t="s">
        <v>43</v>
      </c>
      <c r="K8" s="8">
        <v>3</v>
      </c>
      <c r="L8" s="8">
        <v>630</v>
      </c>
      <c r="M8" s="8">
        <v>480</v>
      </c>
      <c r="N8" s="8">
        <v>150</v>
      </c>
      <c r="O8" s="7" t="s">
        <v>35</v>
      </c>
      <c r="P8" s="9" t="s">
        <v>36</v>
      </c>
    </row>
    <row r="9" spans="1:16" ht="27.6" x14ac:dyDescent="0.3">
      <c r="A9" s="10" t="s">
        <v>71</v>
      </c>
      <c r="B9" s="11">
        <v>46047</v>
      </c>
      <c r="C9" s="12" t="s">
        <v>46</v>
      </c>
      <c r="D9" s="12" t="s">
        <v>72</v>
      </c>
      <c r="E9" s="12" t="s">
        <v>73</v>
      </c>
      <c r="F9" s="12" t="s">
        <v>74</v>
      </c>
      <c r="G9" s="12" t="s">
        <v>20</v>
      </c>
      <c r="H9" s="12" t="s">
        <v>51</v>
      </c>
      <c r="I9" s="12" t="s">
        <v>75</v>
      </c>
      <c r="J9" s="12" t="s">
        <v>53</v>
      </c>
      <c r="K9" s="13">
        <v>20</v>
      </c>
      <c r="L9" s="13">
        <v>80</v>
      </c>
      <c r="M9" s="13">
        <v>55</v>
      </c>
      <c r="N9" s="13">
        <v>25</v>
      </c>
      <c r="O9" s="12" t="s">
        <v>44</v>
      </c>
      <c r="P9" s="14" t="s">
        <v>76</v>
      </c>
    </row>
    <row r="10" spans="1:16" ht="27.6" x14ac:dyDescent="0.3">
      <c r="A10" s="5" t="s">
        <v>77</v>
      </c>
      <c r="B10" s="6">
        <v>46050</v>
      </c>
      <c r="C10" s="7" t="s">
        <v>17</v>
      </c>
      <c r="D10" s="7" t="s">
        <v>78</v>
      </c>
      <c r="E10" s="7" t="s">
        <v>79</v>
      </c>
      <c r="F10" s="7" t="s">
        <v>80</v>
      </c>
      <c r="G10" s="7" t="s">
        <v>31</v>
      </c>
      <c r="H10" s="7" t="s">
        <v>21</v>
      </c>
      <c r="I10" s="7" t="s">
        <v>81</v>
      </c>
      <c r="J10" s="7" t="s">
        <v>23</v>
      </c>
      <c r="K10" s="8">
        <v>2</v>
      </c>
      <c r="L10" s="8">
        <v>600</v>
      </c>
      <c r="M10" s="8">
        <v>470</v>
      </c>
      <c r="N10" s="8">
        <v>130</v>
      </c>
      <c r="O10" s="7" t="s">
        <v>24</v>
      </c>
      <c r="P10" s="9" t="s">
        <v>25</v>
      </c>
    </row>
    <row r="11" spans="1:16" ht="27.6" x14ac:dyDescent="0.3">
      <c r="A11" s="10" t="s">
        <v>82</v>
      </c>
      <c r="B11" s="11">
        <v>46052</v>
      </c>
      <c r="C11" s="12" t="s">
        <v>27</v>
      </c>
      <c r="D11" s="12" t="s">
        <v>83</v>
      </c>
      <c r="E11" s="12" t="s">
        <v>84</v>
      </c>
      <c r="F11" s="12" t="s">
        <v>85</v>
      </c>
      <c r="G11" s="12" t="s">
        <v>20</v>
      </c>
      <c r="H11" s="12" t="s">
        <v>32</v>
      </c>
      <c r="I11" s="12" t="s">
        <v>86</v>
      </c>
      <c r="J11" s="12" t="s">
        <v>34</v>
      </c>
      <c r="K11" s="13">
        <v>1</v>
      </c>
      <c r="L11" s="13">
        <v>700</v>
      </c>
      <c r="M11" s="13">
        <v>560</v>
      </c>
      <c r="N11" s="13">
        <v>140</v>
      </c>
      <c r="O11" s="12" t="s">
        <v>87</v>
      </c>
      <c r="P11" s="14" t="s">
        <v>36</v>
      </c>
    </row>
    <row r="12" spans="1:16" ht="27.6" x14ac:dyDescent="0.3">
      <c r="A12" s="5" t="s">
        <v>88</v>
      </c>
      <c r="B12" s="6">
        <v>46055</v>
      </c>
      <c r="C12" s="7" t="s">
        <v>38</v>
      </c>
      <c r="D12" s="7" t="s">
        <v>89</v>
      </c>
      <c r="E12" s="7" t="s">
        <v>90</v>
      </c>
      <c r="F12" s="7" t="s">
        <v>91</v>
      </c>
      <c r="G12" s="7" t="s">
        <v>20</v>
      </c>
      <c r="H12" s="7" t="s">
        <v>21</v>
      </c>
      <c r="I12" s="7" t="s">
        <v>92</v>
      </c>
      <c r="J12" s="7" t="s">
        <v>43</v>
      </c>
      <c r="K12" s="8">
        <v>2</v>
      </c>
      <c r="L12" s="8">
        <v>900</v>
      </c>
      <c r="M12" s="8">
        <v>700</v>
      </c>
      <c r="N12" s="8">
        <v>200</v>
      </c>
      <c r="O12" s="7" t="s">
        <v>24</v>
      </c>
      <c r="P12" s="9" t="s">
        <v>25</v>
      </c>
    </row>
    <row r="13" spans="1:16" ht="27.6" x14ac:dyDescent="0.3">
      <c r="A13" s="10" t="s">
        <v>93</v>
      </c>
      <c r="B13" s="11">
        <v>46058</v>
      </c>
      <c r="C13" s="12" t="s">
        <v>46</v>
      </c>
      <c r="D13" s="12" t="s">
        <v>94</v>
      </c>
      <c r="E13" s="12" t="s">
        <v>95</v>
      </c>
      <c r="F13" s="12" t="s">
        <v>96</v>
      </c>
      <c r="G13" s="12" t="s">
        <v>31</v>
      </c>
      <c r="H13" s="12" t="s">
        <v>32</v>
      </c>
      <c r="I13" s="12" t="s">
        <v>97</v>
      </c>
      <c r="J13" s="12" t="s">
        <v>53</v>
      </c>
      <c r="K13" s="13">
        <v>3</v>
      </c>
      <c r="L13" s="13">
        <v>450</v>
      </c>
      <c r="M13" s="13">
        <v>330</v>
      </c>
      <c r="N13" s="13">
        <v>120</v>
      </c>
      <c r="O13" s="12" t="s">
        <v>44</v>
      </c>
      <c r="P13" s="14" t="s">
        <v>36</v>
      </c>
    </row>
    <row r="14" spans="1:16" ht="27.6" x14ac:dyDescent="0.3">
      <c r="A14" s="5" t="s">
        <v>98</v>
      </c>
      <c r="B14" s="6">
        <v>46061</v>
      </c>
      <c r="C14" s="7" t="s">
        <v>17</v>
      </c>
      <c r="D14" s="7" t="s">
        <v>99</v>
      </c>
      <c r="E14" s="7" t="s">
        <v>100</v>
      </c>
      <c r="F14" s="7" t="s">
        <v>101</v>
      </c>
      <c r="G14" s="7" t="s">
        <v>20</v>
      </c>
      <c r="H14" s="7" t="s">
        <v>21</v>
      </c>
      <c r="I14" s="7" t="s">
        <v>102</v>
      </c>
      <c r="J14" s="7" t="s">
        <v>23</v>
      </c>
      <c r="K14" s="8">
        <v>5</v>
      </c>
      <c r="L14" s="8">
        <v>250</v>
      </c>
      <c r="M14" s="8">
        <v>180</v>
      </c>
      <c r="N14" s="8">
        <v>70</v>
      </c>
      <c r="O14" s="7" t="s">
        <v>103</v>
      </c>
      <c r="P14" s="9" t="s">
        <v>76</v>
      </c>
    </row>
    <row r="15" spans="1:16" ht="27.6" x14ac:dyDescent="0.3">
      <c r="A15" s="10" t="s">
        <v>104</v>
      </c>
      <c r="B15" s="11">
        <v>46064</v>
      </c>
      <c r="C15" s="12" t="s">
        <v>27</v>
      </c>
      <c r="D15" s="12" t="s">
        <v>105</v>
      </c>
      <c r="E15" s="12" t="s">
        <v>106</v>
      </c>
      <c r="F15" s="12" t="s">
        <v>107</v>
      </c>
      <c r="G15" s="12" t="s">
        <v>31</v>
      </c>
      <c r="H15" s="12" t="s">
        <v>51</v>
      </c>
      <c r="I15" s="12" t="s">
        <v>108</v>
      </c>
      <c r="J15" s="12" t="s">
        <v>34</v>
      </c>
      <c r="K15" s="13">
        <v>10</v>
      </c>
      <c r="L15" s="13">
        <v>200</v>
      </c>
      <c r="M15" s="13">
        <v>130</v>
      </c>
      <c r="N15" s="13">
        <v>70</v>
      </c>
      <c r="O15" s="12" t="s">
        <v>24</v>
      </c>
      <c r="P15" s="14" t="s">
        <v>36</v>
      </c>
    </row>
    <row r="16" spans="1:16" ht="27.6" x14ac:dyDescent="0.3">
      <c r="A16" s="5" t="s">
        <v>109</v>
      </c>
      <c r="B16" s="6">
        <v>46067</v>
      </c>
      <c r="C16" s="7" t="s">
        <v>38</v>
      </c>
      <c r="D16" s="7" t="s">
        <v>110</v>
      </c>
      <c r="E16" s="7" t="s">
        <v>111</v>
      </c>
      <c r="F16" s="7" t="s">
        <v>112</v>
      </c>
      <c r="G16" s="7" t="s">
        <v>20</v>
      </c>
      <c r="H16" s="7" t="s">
        <v>32</v>
      </c>
      <c r="I16" s="7" t="s">
        <v>113</v>
      </c>
      <c r="J16" s="7" t="s">
        <v>43</v>
      </c>
      <c r="K16" s="8">
        <v>2</v>
      </c>
      <c r="L16" s="8">
        <v>800</v>
      </c>
      <c r="M16" s="8">
        <v>620</v>
      </c>
      <c r="N16" s="8">
        <v>180</v>
      </c>
      <c r="O16" s="7" t="s">
        <v>35</v>
      </c>
      <c r="P16" s="9" t="s">
        <v>25</v>
      </c>
    </row>
    <row r="17" spans="1:16" ht="27.6" x14ac:dyDescent="0.3">
      <c r="A17" s="10" t="s">
        <v>114</v>
      </c>
      <c r="B17" s="11">
        <v>46071</v>
      </c>
      <c r="C17" s="12" t="s">
        <v>46</v>
      </c>
      <c r="D17" s="12" t="s">
        <v>115</v>
      </c>
      <c r="E17" s="12" t="s">
        <v>116</v>
      </c>
      <c r="F17" s="12" t="s">
        <v>117</v>
      </c>
      <c r="G17" s="12" t="s">
        <v>20</v>
      </c>
      <c r="H17" s="12" t="s">
        <v>21</v>
      </c>
      <c r="I17" s="12" t="s">
        <v>118</v>
      </c>
      <c r="J17" s="12" t="s">
        <v>53</v>
      </c>
      <c r="K17" s="13">
        <v>6</v>
      </c>
      <c r="L17" s="13">
        <v>360</v>
      </c>
      <c r="M17" s="13">
        <v>240</v>
      </c>
      <c r="N17" s="13">
        <v>120</v>
      </c>
      <c r="O17" s="12" t="s">
        <v>24</v>
      </c>
      <c r="P17" s="14" t="s">
        <v>76</v>
      </c>
    </row>
    <row r="18" spans="1:16" ht="27.6" x14ac:dyDescent="0.3">
      <c r="A18" s="5" t="s">
        <v>119</v>
      </c>
      <c r="B18" s="6">
        <v>46074</v>
      </c>
      <c r="C18" s="7" t="s">
        <v>17</v>
      </c>
      <c r="D18" s="7" t="s">
        <v>83</v>
      </c>
      <c r="E18" s="7" t="s">
        <v>120</v>
      </c>
      <c r="F18" s="7" t="s">
        <v>121</v>
      </c>
      <c r="G18" s="7" t="s">
        <v>31</v>
      </c>
      <c r="H18" s="7" t="s">
        <v>58</v>
      </c>
      <c r="I18" s="7" t="s">
        <v>122</v>
      </c>
      <c r="J18" s="7" t="s">
        <v>23</v>
      </c>
      <c r="K18" s="8">
        <v>1</v>
      </c>
      <c r="L18" s="8">
        <v>400</v>
      </c>
      <c r="M18" s="8">
        <v>300</v>
      </c>
      <c r="N18" s="8">
        <v>100</v>
      </c>
      <c r="O18" s="7" t="s">
        <v>60</v>
      </c>
      <c r="P18" s="9" t="s">
        <v>36</v>
      </c>
    </row>
    <row r="19" spans="1:16" ht="27.6" x14ac:dyDescent="0.3">
      <c r="A19" s="10" t="s">
        <v>123</v>
      </c>
      <c r="B19" s="11">
        <v>46078</v>
      </c>
      <c r="C19" s="12" t="s">
        <v>27</v>
      </c>
      <c r="D19" s="12" t="s">
        <v>28</v>
      </c>
      <c r="E19" s="12" t="s">
        <v>124</v>
      </c>
      <c r="F19" s="12" t="s">
        <v>125</v>
      </c>
      <c r="G19" s="12" t="s">
        <v>20</v>
      </c>
      <c r="H19" s="12" t="s">
        <v>32</v>
      </c>
      <c r="I19" s="12" t="s">
        <v>126</v>
      </c>
      <c r="J19" s="12" t="s">
        <v>34</v>
      </c>
      <c r="K19" s="13">
        <v>2</v>
      </c>
      <c r="L19" s="13">
        <v>500</v>
      </c>
      <c r="M19" s="13">
        <v>370</v>
      </c>
      <c r="N19" s="13">
        <v>130</v>
      </c>
      <c r="O19" s="12" t="s">
        <v>44</v>
      </c>
      <c r="P19" s="14" t="s">
        <v>25</v>
      </c>
    </row>
    <row r="20" spans="1:16" ht="27.6" x14ac:dyDescent="0.3">
      <c r="A20" s="5" t="s">
        <v>127</v>
      </c>
      <c r="B20" s="6">
        <v>46081</v>
      </c>
      <c r="C20" s="7" t="s">
        <v>38</v>
      </c>
      <c r="D20" s="7" t="s">
        <v>128</v>
      </c>
      <c r="E20" s="7" t="s">
        <v>129</v>
      </c>
      <c r="F20" s="7" t="s">
        <v>130</v>
      </c>
      <c r="G20" s="7" t="s">
        <v>31</v>
      </c>
      <c r="H20" s="7" t="s">
        <v>21</v>
      </c>
      <c r="I20" s="7" t="s">
        <v>131</v>
      </c>
      <c r="J20" s="7" t="s">
        <v>43</v>
      </c>
      <c r="K20" s="8">
        <v>8</v>
      </c>
      <c r="L20" s="8">
        <v>320</v>
      </c>
      <c r="M20" s="8">
        <v>220</v>
      </c>
      <c r="N20" s="8">
        <v>100</v>
      </c>
      <c r="O20" s="7" t="s">
        <v>24</v>
      </c>
      <c r="P20" s="9" t="s">
        <v>36</v>
      </c>
    </row>
    <row r="21" spans="1:16" ht="27.6" x14ac:dyDescent="0.3">
      <c r="A21" s="10" t="s">
        <v>132</v>
      </c>
      <c r="B21" s="11">
        <v>46084</v>
      </c>
      <c r="C21" s="12" t="s">
        <v>46</v>
      </c>
      <c r="D21" s="12" t="s">
        <v>133</v>
      </c>
      <c r="E21" s="12" t="s">
        <v>134</v>
      </c>
      <c r="F21" s="12" t="s">
        <v>135</v>
      </c>
      <c r="G21" s="12" t="s">
        <v>20</v>
      </c>
      <c r="H21" s="12" t="s">
        <v>51</v>
      </c>
      <c r="I21" s="12" t="s">
        <v>136</v>
      </c>
      <c r="J21" s="12" t="s">
        <v>53</v>
      </c>
      <c r="K21" s="13">
        <v>25</v>
      </c>
      <c r="L21" s="13">
        <v>250</v>
      </c>
      <c r="M21" s="13">
        <v>160</v>
      </c>
      <c r="N21" s="13">
        <v>90</v>
      </c>
      <c r="O21" s="12" t="s">
        <v>44</v>
      </c>
      <c r="P21" s="14" t="s">
        <v>76</v>
      </c>
    </row>
    <row r="22" spans="1:16" ht="27.6" x14ac:dyDescent="0.3">
      <c r="A22" s="5" t="s">
        <v>137</v>
      </c>
      <c r="B22" s="6">
        <v>46087</v>
      </c>
      <c r="C22" s="7" t="s">
        <v>17</v>
      </c>
      <c r="D22" s="7" t="s">
        <v>18</v>
      </c>
      <c r="E22" s="7" t="s">
        <v>138</v>
      </c>
      <c r="F22" s="7" t="s">
        <v>139</v>
      </c>
      <c r="G22" s="7" t="s">
        <v>31</v>
      </c>
      <c r="H22" s="7" t="s">
        <v>21</v>
      </c>
      <c r="I22" s="7" t="s">
        <v>140</v>
      </c>
      <c r="J22" s="7" t="s">
        <v>23</v>
      </c>
      <c r="K22" s="8">
        <v>3</v>
      </c>
      <c r="L22" s="8">
        <v>750</v>
      </c>
      <c r="M22" s="8">
        <v>570</v>
      </c>
      <c r="N22" s="8">
        <v>180</v>
      </c>
      <c r="O22" s="7" t="s">
        <v>103</v>
      </c>
      <c r="P22" s="9" t="s">
        <v>25</v>
      </c>
    </row>
    <row r="23" spans="1:16" ht="27.6" x14ac:dyDescent="0.3">
      <c r="A23" s="10" t="s">
        <v>141</v>
      </c>
      <c r="B23" s="11">
        <v>46091</v>
      </c>
      <c r="C23" s="12" t="s">
        <v>27</v>
      </c>
      <c r="D23" s="12" t="s">
        <v>62</v>
      </c>
      <c r="E23" s="12" t="s">
        <v>142</v>
      </c>
      <c r="F23" s="12" t="s">
        <v>143</v>
      </c>
      <c r="G23" s="12" t="s">
        <v>20</v>
      </c>
      <c r="H23" s="12" t="s">
        <v>32</v>
      </c>
      <c r="I23" s="12" t="s">
        <v>144</v>
      </c>
      <c r="J23" s="12" t="s">
        <v>34</v>
      </c>
      <c r="K23" s="13">
        <v>5</v>
      </c>
      <c r="L23" s="13">
        <v>600</v>
      </c>
      <c r="M23" s="13">
        <v>430</v>
      </c>
      <c r="N23" s="13">
        <v>170</v>
      </c>
      <c r="O23" s="12" t="s">
        <v>24</v>
      </c>
      <c r="P23" s="14" t="s">
        <v>36</v>
      </c>
    </row>
    <row r="24" spans="1:16" ht="27.6" x14ac:dyDescent="0.3">
      <c r="A24" s="5" t="s">
        <v>145</v>
      </c>
      <c r="B24" s="6">
        <v>46095</v>
      </c>
      <c r="C24" s="7" t="s">
        <v>38</v>
      </c>
      <c r="D24" s="7" t="s">
        <v>39</v>
      </c>
      <c r="E24" s="7" t="s">
        <v>146</v>
      </c>
      <c r="F24" s="7" t="s">
        <v>147</v>
      </c>
      <c r="G24" s="7" t="s">
        <v>20</v>
      </c>
      <c r="H24" s="7" t="s">
        <v>21</v>
      </c>
      <c r="I24" s="7" t="s">
        <v>148</v>
      </c>
      <c r="J24" s="7" t="s">
        <v>43</v>
      </c>
      <c r="K24" s="8">
        <v>4</v>
      </c>
      <c r="L24" s="8">
        <v>480</v>
      </c>
      <c r="M24" s="8">
        <v>330</v>
      </c>
      <c r="N24" s="8">
        <v>150</v>
      </c>
      <c r="O24" s="7" t="s">
        <v>35</v>
      </c>
      <c r="P24" s="9" t="s">
        <v>25</v>
      </c>
    </row>
    <row r="25" spans="1:16" ht="27.6" x14ac:dyDescent="0.3">
      <c r="A25" s="10" t="s">
        <v>149</v>
      </c>
      <c r="B25" s="11">
        <v>46099</v>
      </c>
      <c r="C25" s="12" t="s">
        <v>46</v>
      </c>
      <c r="D25" s="12" t="s">
        <v>72</v>
      </c>
      <c r="E25" s="12" t="s">
        <v>150</v>
      </c>
      <c r="F25" s="12" t="s">
        <v>151</v>
      </c>
      <c r="G25" s="12" t="s">
        <v>31</v>
      </c>
      <c r="H25" s="12" t="s">
        <v>51</v>
      </c>
      <c r="I25" s="12" t="s">
        <v>152</v>
      </c>
      <c r="J25" s="12" t="s">
        <v>53</v>
      </c>
      <c r="K25" s="13">
        <v>12</v>
      </c>
      <c r="L25" s="13">
        <v>240</v>
      </c>
      <c r="M25" s="13">
        <v>150</v>
      </c>
      <c r="N25" s="13">
        <v>90</v>
      </c>
      <c r="O25" s="12" t="s">
        <v>44</v>
      </c>
      <c r="P25" s="14" t="s">
        <v>76</v>
      </c>
    </row>
    <row r="26" spans="1:16" ht="27.6" x14ac:dyDescent="0.3">
      <c r="A26" s="5" t="s">
        <v>153</v>
      </c>
      <c r="B26" s="6">
        <v>46102</v>
      </c>
      <c r="C26" s="7" t="s">
        <v>17</v>
      </c>
      <c r="D26" s="7" t="s">
        <v>55</v>
      </c>
      <c r="E26" s="7" t="s">
        <v>154</v>
      </c>
      <c r="F26" s="7" t="s">
        <v>155</v>
      </c>
      <c r="G26" s="7" t="s">
        <v>20</v>
      </c>
      <c r="H26" s="7" t="s">
        <v>21</v>
      </c>
      <c r="I26" s="7" t="s">
        <v>81</v>
      </c>
      <c r="J26" s="7" t="s">
        <v>23</v>
      </c>
      <c r="K26" s="8">
        <v>2</v>
      </c>
      <c r="L26" s="8">
        <v>550</v>
      </c>
      <c r="M26" s="8">
        <v>420</v>
      </c>
      <c r="N26" s="8">
        <v>130</v>
      </c>
      <c r="O26" s="7" t="s">
        <v>24</v>
      </c>
      <c r="P26" s="9" t="s">
        <v>36</v>
      </c>
    </row>
    <row r="27" spans="1:16" ht="27.6" x14ac:dyDescent="0.3">
      <c r="A27" s="10" t="s">
        <v>156</v>
      </c>
      <c r="B27" s="11">
        <v>46105</v>
      </c>
      <c r="C27" s="12" t="s">
        <v>27</v>
      </c>
      <c r="D27" s="12" t="s">
        <v>28</v>
      </c>
      <c r="E27" s="12" t="s">
        <v>157</v>
      </c>
      <c r="F27" s="12" t="s">
        <v>158</v>
      </c>
      <c r="G27" s="12" t="s">
        <v>31</v>
      </c>
      <c r="H27" s="12" t="s">
        <v>32</v>
      </c>
      <c r="I27" s="12" t="s">
        <v>86</v>
      </c>
      <c r="J27" s="12" t="s">
        <v>34</v>
      </c>
      <c r="K27" s="13">
        <v>1</v>
      </c>
      <c r="L27" s="13">
        <v>850</v>
      </c>
      <c r="M27" s="13">
        <v>650</v>
      </c>
      <c r="N27" s="13">
        <v>200</v>
      </c>
      <c r="O27" s="12" t="s">
        <v>87</v>
      </c>
      <c r="P27" s="14" t="s">
        <v>25</v>
      </c>
    </row>
    <row r="28" spans="1:16" ht="27.6" x14ac:dyDescent="0.3">
      <c r="A28" s="5" t="s">
        <v>159</v>
      </c>
      <c r="B28" s="6">
        <v>46108</v>
      </c>
      <c r="C28" s="7" t="s">
        <v>38</v>
      </c>
      <c r="D28" s="7" t="s">
        <v>89</v>
      </c>
      <c r="E28" s="7" t="s">
        <v>160</v>
      </c>
      <c r="F28" s="7" t="s">
        <v>161</v>
      </c>
      <c r="G28" s="7" t="s">
        <v>20</v>
      </c>
      <c r="H28" s="7" t="s">
        <v>58</v>
      </c>
      <c r="I28" s="7" t="s">
        <v>59</v>
      </c>
      <c r="J28" s="7" t="s">
        <v>43</v>
      </c>
      <c r="K28" s="8">
        <v>2</v>
      </c>
      <c r="L28" s="8">
        <v>640</v>
      </c>
      <c r="M28" s="8">
        <v>470</v>
      </c>
      <c r="N28" s="8">
        <v>170</v>
      </c>
      <c r="O28" s="7" t="s">
        <v>103</v>
      </c>
      <c r="P28" s="9" t="s">
        <v>36</v>
      </c>
    </row>
    <row r="29" spans="1:16" ht="27.6" x14ac:dyDescent="0.3">
      <c r="A29" s="10" t="s">
        <v>162</v>
      </c>
      <c r="B29" s="11">
        <v>46111</v>
      </c>
      <c r="C29" s="12" t="s">
        <v>46</v>
      </c>
      <c r="D29" s="12" t="s">
        <v>47</v>
      </c>
      <c r="E29" s="12" t="s">
        <v>163</v>
      </c>
      <c r="F29" s="12" t="s">
        <v>164</v>
      </c>
      <c r="G29" s="12" t="s">
        <v>20</v>
      </c>
      <c r="H29" s="12" t="s">
        <v>21</v>
      </c>
      <c r="I29" s="12" t="s">
        <v>165</v>
      </c>
      <c r="J29" s="12" t="s">
        <v>53</v>
      </c>
      <c r="K29" s="13">
        <v>10</v>
      </c>
      <c r="L29" s="13">
        <v>300</v>
      </c>
      <c r="M29" s="13">
        <v>200</v>
      </c>
      <c r="N29" s="13">
        <v>100</v>
      </c>
      <c r="O29" s="12" t="s">
        <v>24</v>
      </c>
      <c r="P29" s="14"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E228C-AD05-4409-8221-4D08B3861685}">
  <dimension ref="A3:P45"/>
  <sheetViews>
    <sheetView workbookViewId="0">
      <selection activeCell="R15" sqref="R15"/>
    </sheetView>
  </sheetViews>
  <sheetFormatPr defaultRowHeight="14.4" x14ac:dyDescent="0.3"/>
  <cols>
    <col min="1" max="1" width="12.5546875" bestFit="1" customWidth="1"/>
    <col min="2" max="3" width="12.109375" bestFit="1" customWidth="1"/>
    <col min="4" max="4" width="13.77734375" bestFit="1" customWidth="1"/>
    <col min="5" max="5" width="11.6640625" bestFit="1" customWidth="1"/>
    <col min="7" max="7" width="12.5546875" bestFit="1" customWidth="1"/>
    <col min="8" max="8" width="11.6640625" bestFit="1" customWidth="1"/>
    <col min="10" max="10" width="12.5546875" bestFit="1" customWidth="1"/>
    <col min="11" max="11" width="11.6640625" bestFit="1" customWidth="1"/>
    <col min="12" max="12" width="12.109375" bestFit="1" customWidth="1"/>
    <col min="13" max="13" width="11.109375" bestFit="1" customWidth="1"/>
    <col min="14" max="14" width="11.6640625" bestFit="1" customWidth="1"/>
    <col min="15" max="16" width="10.44140625" customWidth="1"/>
  </cols>
  <sheetData>
    <row r="3" spans="1:16" x14ac:dyDescent="0.3">
      <c r="A3" s="15" t="s">
        <v>166</v>
      </c>
      <c r="B3" t="s">
        <v>168</v>
      </c>
      <c r="D3" s="15" t="s">
        <v>166</v>
      </c>
      <c r="E3" t="s">
        <v>168</v>
      </c>
      <c r="G3" s="15" t="s">
        <v>166</v>
      </c>
      <c r="H3" t="s">
        <v>168</v>
      </c>
      <c r="J3" s="15" t="s">
        <v>166</v>
      </c>
      <c r="K3" t="s">
        <v>168</v>
      </c>
      <c r="M3" s="15" t="s">
        <v>166</v>
      </c>
      <c r="N3" t="s">
        <v>168</v>
      </c>
    </row>
    <row r="4" spans="1:16" x14ac:dyDescent="0.3">
      <c r="A4" s="16" t="s">
        <v>46</v>
      </c>
      <c r="B4">
        <v>1770</v>
      </c>
      <c r="D4" s="16" t="s">
        <v>128</v>
      </c>
      <c r="E4" s="20">
        <v>320</v>
      </c>
      <c r="G4" s="16" t="s">
        <v>63</v>
      </c>
      <c r="H4" s="20">
        <v>360</v>
      </c>
      <c r="J4" s="16" t="s">
        <v>20</v>
      </c>
      <c r="K4" s="20">
        <v>9970</v>
      </c>
      <c r="M4" s="16" t="s">
        <v>43</v>
      </c>
      <c r="N4" s="20">
        <v>5270</v>
      </c>
    </row>
    <row r="5" spans="1:16" x14ac:dyDescent="0.3">
      <c r="A5" s="16" t="s">
        <v>17</v>
      </c>
      <c r="B5">
        <v>4570</v>
      </c>
      <c r="D5" s="16" t="s">
        <v>115</v>
      </c>
      <c r="E5" s="20">
        <v>360</v>
      </c>
      <c r="G5" s="16" t="s">
        <v>154</v>
      </c>
      <c r="H5" s="20">
        <v>550</v>
      </c>
      <c r="J5" s="16" t="s">
        <v>31</v>
      </c>
      <c r="K5" s="20">
        <v>5240</v>
      </c>
      <c r="M5" s="16" t="s">
        <v>53</v>
      </c>
      <c r="N5" s="20">
        <v>1770</v>
      </c>
    </row>
    <row r="6" spans="1:16" x14ac:dyDescent="0.3">
      <c r="A6" s="16" t="s">
        <v>38</v>
      </c>
      <c r="B6">
        <v>5270</v>
      </c>
      <c r="D6" s="16" t="s">
        <v>94</v>
      </c>
      <c r="E6" s="20">
        <v>450</v>
      </c>
      <c r="G6" s="16" t="s">
        <v>40</v>
      </c>
      <c r="H6" s="20">
        <v>1500</v>
      </c>
      <c r="J6" s="16" t="s">
        <v>50</v>
      </c>
      <c r="K6" s="20">
        <v>90</v>
      </c>
      <c r="M6" s="16" t="s">
        <v>23</v>
      </c>
      <c r="N6" s="20">
        <v>4570</v>
      </c>
    </row>
    <row r="7" spans="1:16" x14ac:dyDescent="0.3">
      <c r="A7" s="16" t="s">
        <v>27</v>
      </c>
      <c r="B7">
        <v>3690</v>
      </c>
      <c r="D7" s="16" t="s">
        <v>18</v>
      </c>
      <c r="E7" s="20">
        <v>2450</v>
      </c>
      <c r="G7" s="16" t="s">
        <v>73</v>
      </c>
      <c r="H7" s="20">
        <v>80</v>
      </c>
      <c r="J7" s="16" t="s">
        <v>167</v>
      </c>
      <c r="K7" s="20">
        <v>15300</v>
      </c>
      <c r="M7" s="16" t="s">
        <v>34</v>
      </c>
      <c r="N7" s="20">
        <v>3690</v>
      </c>
    </row>
    <row r="8" spans="1:16" x14ac:dyDescent="0.3">
      <c r="A8" s="16" t="s">
        <v>167</v>
      </c>
      <c r="B8">
        <v>15300</v>
      </c>
      <c r="D8" s="16" t="s">
        <v>105</v>
      </c>
      <c r="E8" s="20">
        <v>200</v>
      </c>
      <c r="G8" s="16" t="s">
        <v>90</v>
      </c>
      <c r="H8" s="20">
        <v>900</v>
      </c>
      <c r="M8" s="16" t="s">
        <v>167</v>
      </c>
      <c r="N8" s="20">
        <v>15300</v>
      </c>
    </row>
    <row r="9" spans="1:16" x14ac:dyDescent="0.3">
      <c r="D9" s="16" t="s">
        <v>62</v>
      </c>
      <c r="E9" s="20">
        <v>960</v>
      </c>
      <c r="G9" s="16" t="s">
        <v>150</v>
      </c>
      <c r="H9" s="20">
        <v>240</v>
      </c>
    </row>
    <row r="10" spans="1:16" x14ac:dyDescent="0.3">
      <c r="D10" s="16" t="s">
        <v>99</v>
      </c>
      <c r="E10" s="20">
        <v>250</v>
      </c>
      <c r="G10" s="16" t="s">
        <v>18</v>
      </c>
      <c r="H10" s="20">
        <v>1700</v>
      </c>
    </row>
    <row r="11" spans="1:16" x14ac:dyDescent="0.3">
      <c r="A11" s="15" t="s">
        <v>166</v>
      </c>
      <c r="B11" t="s">
        <v>169</v>
      </c>
      <c r="D11" s="16" t="s">
        <v>133</v>
      </c>
      <c r="E11" s="20">
        <v>250</v>
      </c>
      <c r="G11" s="16" t="s">
        <v>100</v>
      </c>
      <c r="H11" s="20">
        <v>250</v>
      </c>
      <c r="J11" s="15" t="s">
        <v>166</v>
      </c>
      <c r="K11" t="s">
        <v>168</v>
      </c>
      <c r="L11" t="s">
        <v>169</v>
      </c>
      <c r="M11" t="s">
        <v>168</v>
      </c>
      <c r="O11" s="16" t="s">
        <v>173</v>
      </c>
      <c r="P11" t="s">
        <v>174</v>
      </c>
    </row>
    <row r="12" spans="1:16" x14ac:dyDescent="0.3">
      <c r="A12" s="16" t="s">
        <v>46</v>
      </c>
      <c r="B12" s="20">
        <v>575</v>
      </c>
      <c r="D12" s="16" t="s">
        <v>39</v>
      </c>
      <c r="E12" s="20">
        <v>1980</v>
      </c>
      <c r="G12" s="16" t="s">
        <v>116</v>
      </c>
      <c r="H12" s="20">
        <v>360</v>
      </c>
      <c r="J12" s="16" t="s">
        <v>21</v>
      </c>
      <c r="K12" s="20">
        <v>8340</v>
      </c>
      <c r="L12" s="20">
        <v>1850</v>
      </c>
      <c r="M12" s="17">
        <v>15300</v>
      </c>
      <c r="O12" s="16" t="s">
        <v>128</v>
      </c>
      <c r="P12">
        <v>320</v>
      </c>
    </row>
    <row r="13" spans="1:16" x14ac:dyDescent="0.3">
      <c r="A13" s="16" t="s">
        <v>17</v>
      </c>
      <c r="B13" s="20">
        <v>930</v>
      </c>
      <c r="D13" s="16" t="s">
        <v>110</v>
      </c>
      <c r="E13" s="20">
        <v>800</v>
      </c>
      <c r="G13" s="16" t="s">
        <v>68</v>
      </c>
      <c r="H13" s="20">
        <v>630</v>
      </c>
      <c r="J13" s="16" t="s">
        <v>32</v>
      </c>
      <c r="K13" s="20">
        <v>4740</v>
      </c>
      <c r="L13" s="20">
        <v>1160</v>
      </c>
      <c r="O13" s="16" t="s">
        <v>115</v>
      </c>
      <c r="P13">
        <v>360</v>
      </c>
    </row>
    <row r="14" spans="1:16" x14ac:dyDescent="0.3">
      <c r="A14" s="16" t="s">
        <v>38</v>
      </c>
      <c r="B14" s="20">
        <v>1220</v>
      </c>
      <c r="D14" s="16" t="s">
        <v>28</v>
      </c>
      <c r="E14" s="20">
        <v>1830</v>
      </c>
      <c r="G14" s="16" t="s">
        <v>84</v>
      </c>
      <c r="H14" s="20">
        <v>700</v>
      </c>
      <c r="J14" s="16" t="s">
        <v>51</v>
      </c>
      <c r="K14" s="20">
        <v>860</v>
      </c>
      <c r="L14" s="20">
        <v>305</v>
      </c>
      <c r="O14" s="16" t="s">
        <v>94</v>
      </c>
      <c r="P14">
        <v>450</v>
      </c>
    </row>
    <row r="15" spans="1:16" x14ac:dyDescent="0.3">
      <c r="A15" s="16" t="s">
        <v>27</v>
      </c>
      <c r="B15" s="20">
        <v>930</v>
      </c>
      <c r="D15" s="16" t="s">
        <v>72</v>
      </c>
      <c r="E15" s="20">
        <v>320</v>
      </c>
      <c r="G15" s="16" t="s">
        <v>120</v>
      </c>
      <c r="H15" s="20">
        <v>400</v>
      </c>
      <c r="J15" s="16" t="s">
        <v>58</v>
      </c>
      <c r="K15" s="20">
        <v>1360</v>
      </c>
      <c r="L15" s="20">
        <v>340</v>
      </c>
      <c r="M15" t="s">
        <v>169</v>
      </c>
      <c r="O15" s="16" t="s">
        <v>18</v>
      </c>
      <c r="P15">
        <v>2450</v>
      </c>
    </row>
    <row r="16" spans="1:16" x14ac:dyDescent="0.3">
      <c r="A16" s="16" t="s">
        <v>167</v>
      </c>
      <c r="B16" s="20">
        <v>3655</v>
      </c>
      <c r="D16" s="16" t="s">
        <v>55</v>
      </c>
      <c r="E16" s="20">
        <v>870</v>
      </c>
      <c r="G16" s="16" t="s">
        <v>111</v>
      </c>
      <c r="H16" s="20">
        <v>800</v>
      </c>
      <c r="J16" s="16" t="s">
        <v>167</v>
      </c>
      <c r="K16" s="20">
        <v>15300</v>
      </c>
      <c r="L16" s="20">
        <v>3655</v>
      </c>
      <c r="M16" s="17">
        <v>3655</v>
      </c>
      <c r="O16" s="16" t="s">
        <v>105</v>
      </c>
      <c r="P16">
        <v>200</v>
      </c>
    </row>
    <row r="17" spans="4:16" x14ac:dyDescent="0.3">
      <c r="D17" s="16" t="s">
        <v>83</v>
      </c>
      <c r="E17" s="20">
        <v>1100</v>
      </c>
      <c r="G17" s="16" t="s">
        <v>48</v>
      </c>
      <c r="H17" s="20">
        <v>90</v>
      </c>
      <c r="O17" s="16" t="s">
        <v>62</v>
      </c>
      <c r="P17">
        <v>960</v>
      </c>
    </row>
    <row r="18" spans="4:16" x14ac:dyDescent="0.3">
      <c r="D18" s="16" t="s">
        <v>89</v>
      </c>
      <c r="E18" s="20">
        <v>1540</v>
      </c>
      <c r="G18" s="16" t="s">
        <v>79</v>
      </c>
      <c r="H18" s="20">
        <v>600</v>
      </c>
      <c r="O18" s="16" t="s">
        <v>99</v>
      </c>
      <c r="P18">
        <v>250</v>
      </c>
    </row>
    <row r="19" spans="4:16" x14ac:dyDescent="0.3">
      <c r="D19" s="16" t="s">
        <v>67</v>
      </c>
      <c r="E19" s="20">
        <v>630</v>
      </c>
      <c r="G19" s="16" t="s">
        <v>56</v>
      </c>
      <c r="H19" s="20">
        <v>320</v>
      </c>
      <c r="J19" s="15" t="s">
        <v>166</v>
      </c>
      <c r="K19" t="s">
        <v>168</v>
      </c>
      <c r="M19" t="s">
        <v>170</v>
      </c>
      <c r="O19" s="16" t="s">
        <v>133</v>
      </c>
      <c r="P19">
        <v>250</v>
      </c>
    </row>
    <row r="20" spans="4:16" x14ac:dyDescent="0.3">
      <c r="D20" s="16" t="s">
        <v>78</v>
      </c>
      <c r="E20" s="20">
        <v>600</v>
      </c>
      <c r="G20" s="16" t="s">
        <v>160</v>
      </c>
      <c r="H20" s="20">
        <v>640</v>
      </c>
      <c r="J20" s="16" t="s">
        <v>126</v>
      </c>
      <c r="K20" s="20">
        <v>500</v>
      </c>
      <c r="M20" s="17">
        <v>546.42857142857144</v>
      </c>
      <c r="O20" s="16" t="s">
        <v>39</v>
      </c>
      <c r="P20">
        <v>1980</v>
      </c>
    </row>
    <row r="21" spans="4:16" x14ac:dyDescent="0.3">
      <c r="D21" s="16" t="s">
        <v>47</v>
      </c>
      <c r="E21" s="20">
        <v>390</v>
      </c>
      <c r="G21" s="16" t="s">
        <v>29</v>
      </c>
      <c r="H21" s="20">
        <v>480</v>
      </c>
      <c r="J21" s="16" t="s">
        <v>113</v>
      </c>
      <c r="K21" s="20">
        <v>800</v>
      </c>
      <c r="O21" s="16" t="s">
        <v>110</v>
      </c>
      <c r="P21">
        <v>800</v>
      </c>
    </row>
    <row r="22" spans="4:16" x14ac:dyDescent="0.3">
      <c r="D22" s="16" t="s">
        <v>167</v>
      </c>
      <c r="E22" s="20">
        <v>15300</v>
      </c>
      <c r="G22" s="16" t="s">
        <v>146</v>
      </c>
      <c r="H22" s="20">
        <v>480</v>
      </c>
      <c r="J22" s="16" t="s">
        <v>92</v>
      </c>
      <c r="K22" s="20">
        <v>900</v>
      </c>
      <c r="O22" s="16" t="s">
        <v>28</v>
      </c>
      <c r="P22">
        <v>1830</v>
      </c>
    </row>
    <row r="23" spans="4:16" x14ac:dyDescent="0.3">
      <c r="G23" s="16" t="s">
        <v>157</v>
      </c>
      <c r="H23" s="20">
        <v>850</v>
      </c>
      <c r="J23" s="16" t="s">
        <v>144</v>
      </c>
      <c r="K23" s="20">
        <v>600</v>
      </c>
      <c r="M23" t="s">
        <v>171</v>
      </c>
      <c r="O23" s="16" t="s">
        <v>72</v>
      </c>
      <c r="P23">
        <v>320</v>
      </c>
    </row>
    <row r="24" spans="4:16" x14ac:dyDescent="0.3">
      <c r="G24" s="16" t="s">
        <v>138</v>
      </c>
      <c r="H24" s="20">
        <v>750</v>
      </c>
      <c r="J24" s="16" t="s">
        <v>97</v>
      </c>
      <c r="K24" s="20">
        <v>450</v>
      </c>
      <c r="M24" s="20">
        <v>28</v>
      </c>
      <c r="O24" s="16" t="s">
        <v>55</v>
      </c>
      <c r="P24">
        <v>870</v>
      </c>
    </row>
    <row r="25" spans="4:16" x14ac:dyDescent="0.3">
      <c r="G25" s="16" t="s">
        <v>106</v>
      </c>
      <c r="H25" s="20">
        <v>200</v>
      </c>
      <c r="J25" s="16" t="s">
        <v>108</v>
      </c>
      <c r="K25" s="20">
        <v>200</v>
      </c>
      <c r="O25" s="16" t="s">
        <v>83</v>
      </c>
      <c r="P25">
        <v>1100</v>
      </c>
    </row>
    <row r="26" spans="4:16" x14ac:dyDescent="0.3">
      <c r="G26" s="16" t="s">
        <v>95</v>
      </c>
      <c r="H26" s="20">
        <v>450</v>
      </c>
      <c r="J26" s="16" t="s">
        <v>118</v>
      </c>
      <c r="K26" s="20">
        <v>360</v>
      </c>
      <c r="M26" t="s">
        <v>175</v>
      </c>
      <c r="O26" s="16" t="s">
        <v>89</v>
      </c>
      <c r="P26">
        <v>1540</v>
      </c>
    </row>
    <row r="27" spans="4:16" x14ac:dyDescent="0.3">
      <c r="G27" s="16" t="s">
        <v>124</v>
      </c>
      <c r="H27" s="20">
        <v>500</v>
      </c>
      <c r="J27" s="16" t="s">
        <v>102</v>
      </c>
      <c r="K27" s="20">
        <v>250</v>
      </c>
      <c r="M27" s="17">
        <v>11645</v>
      </c>
      <c r="O27" s="16" t="s">
        <v>67</v>
      </c>
      <c r="P27">
        <v>630</v>
      </c>
    </row>
    <row r="28" spans="4:16" x14ac:dyDescent="0.3">
      <c r="G28" s="16" t="s">
        <v>134</v>
      </c>
      <c r="H28" s="20">
        <v>250</v>
      </c>
      <c r="J28" s="16" t="s">
        <v>22</v>
      </c>
      <c r="K28" s="20">
        <v>1700</v>
      </c>
      <c r="O28" s="16" t="s">
        <v>78</v>
      </c>
      <c r="P28">
        <v>600</v>
      </c>
    </row>
    <row r="29" spans="4:16" x14ac:dyDescent="0.3">
      <c r="G29" s="16" t="s">
        <v>163</v>
      </c>
      <c r="H29" s="20">
        <v>300</v>
      </c>
      <c r="J29" s="16" t="s">
        <v>131</v>
      </c>
      <c r="K29" s="20">
        <v>320</v>
      </c>
      <c r="O29" s="16" t="s">
        <v>47</v>
      </c>
      <c r="P29">
        <v>390</v>
      </c>
    </row>
    <row r="30" spans="4:16" x14ac:dyDescent="0.3">
      <c r="G30" s="16" t="s">
        <v>142</v>
      </c>
      <c r="H30" s="20">
        <v>600</v>
      </c>
      <c r="J30" s="16" t="s">
        <v>42</v>
      </c>
      <c r="K30" s="20">
        <v>1500</v>
      </c>
    </row>
    <row r="31" spans="4:16" x14ac:dyDescent="0.3">
      <c r="G31" s="16" t="s">
        <v>129</v>
      </c>
      <c r="H31" s="20">
        <v>320</v>
      </c>
      <c r="J31" s="16" t="s">
        <v>70</v>
      </c>
      <c r="K31" s="20">
        <v>630</v>
      </c>
    </row>
    <row r="32" spans="4:16" x14ac:dyDescent="0.3">
      <c r="G32" s="16" t="s">
        <v>167</v>
      </c>
      <c r="H32" s="20">
        <v>15300</v>
      </c>
      <c r="J32" s="16" t="s">
        <v>165</v>
      </c>
      <c r="K32" s="20">
        <v>300</v>
      </c>
    </row>
    <row r="33" spans="10:11" x14ac:dyDescent="0.3">
      <c r="J33" s="16" t="s">
        <v>136</v>
      </c>
      <c r="K33" s="20">
        <v>250</v>
      </c>
    </row>
    <row r="34" spans="10:11" x14ac:dyDescent="0.3">
      <c r="J34" s="16" t="s">
        <v>33</v>
      </c>
      <c r="K34" s="20">
        <v>480</v>
      </c>
    </row>
    <row r="35" spans="10:11" x14ac:dyDescent="0.3">
      <c r="J35" s="16" t="s">
        <v>52</v>
      </c>
      <c r="K35" s="20">
        <v>90</v>
      </c>
    </row>
    <row r="36" spans="10:11" x14ac:dyDescent="0.3">
      <c r="J36" s="16" t="s">
        <v>75</v>
      </c>
      <c r="K36" s="20">
        <v>80</v>
      </c>
    </row>
    <row r="37" spans="10:11" x14ac:dyDescent="0.3">
      <c r="J37" s="16" t="s">
        <v>59</v>
      </c>
      <c r="K37" s="20">
        <v>960</v>
      </c>
    </row>
    <row r="38" spans="10:11" x14ac:dyDescent="0.3">
      <c r="J38" s="16" t="s">
        <v>122</v>
      </c>
      <c r="K38" s="20">
        <v>400</v>
      </c>
    </row>
    <row r="39" spans="10:11" x14ac:dyDescent="0.3">
      <c r="J39" s="16" t="s">
        <v>140</v>
      </c>
      <c r="K39" s="20">
        <v>750</v>
      </c>
    </row>
    <row r="40" spans="10:11" x14ac:dyDescent="0.3">
      <c r="J40" s="16" t="s">
        <v>86</v>
      </c>
      <c r="K40" s="20">
        <v>1550</v>
      </c>
    </row>
    <row r="41" spans="10:11" x14ac:dyDescent="0.3">
      <c r="J41" s="16" t="s">
        <v>148</v>
      </c>
      <c r="K41" s="20">
        <v>480</v>
      </c>
    </row>
    <row r="42" spans="10:11" x14ac:dyDescent="0.3">
      <c r="J42" s="16" t="s">
        <v>152</v>
      </c>
      <c r="K42" s="20">
        <v>240</v>
      </c>
    </row>
    <row r="43" spans="10:11" x14ac:dyDescent="0.3">
      <c r="J43" s="16" t="s">
        <v>65</v>
      </c>
      <c r="K43" s="20">
        <v>360</v>
      </c>
    </row>
    <row r="44" spans="10:11" x14ac:dyDescent="0.3">
      <c r="J44" s="16" t="s">
        <v>81</v>
      </c>
      <c r="K44" s="20">
        <v>1150</v>
      </c>
    </row>
    <row r="45" spans="10:11" x14ac:dyDescent="0.3">
      <c r="J45" s="16" t="s">
        <v>167</v>
      </c>
      <c r="K45" s="20">
        <v>15300</v>
      </c>
    </row>
  </sheetData>
  <pageMargins left="0.7" right="0.7" top="0.75" bottom="0.75" header="0.3" footer="0.3"/>
  <pageSetup orientation="portrait" r:id="rId14"/>
  <drawing r:id="rId15"/>
  <tableParts count="1">
    <tablePart r:id="rId1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1514F-40B8-41F7-9993-15D51D98B7F1}">
  <dimension ref="C2:AD47"/>
  <sheetViews>
    <sheetView showGridLines="0" tabSelected="1" zoomScale="50" zoomScaleNormal="50" workbookViewId="0">
      <selection activeCell="AN17" sqref="AN17"/>
    </sheetView>
  </sheetViews>
  <sheetFormatPr defaultRowHeight="14.4" x14ac:dyDescent="0.3"/>
  <sheetData>
    <row r="2" spans="3:30" x14ac:dyDescent="0.3">
      <c r="C2" s="18" t="s">
        <v>172</v>
      </c>
      <c r="D2" s="18"/>
      <c r="E2" s="18"/>
      <c r="F2" s="18"/>
      <c r="G2" s="18"/>
      <c r="H2" s="18"/>
      <c r="I2" s="18"/>
      <c r="J2" s="18"/>
      <c r="K2" s="18"/>
      <c r="L2" s="18"/>
      <c r="M2" s="18"/>
      <c r="N2" s="18"/>
      <c r="O2" s="18"/>
      <c r="P2" s="18"/>
      <c r="Q2" s="18"/>
      <c r="R2" s="18"/>
      <c r="S2" s="18"/>
      <c r="T2" s="18"/>
      <c r="U2" s="18"/>
      <c r="V2" s="18"/>
      <c r="W2" s="18"/>
      <c r="X2" s="18"/>
      <c r="Y2" s="18"/>
      <c r="Z2" s="18"/>
      <c r="AA2" s="18"/>
      <c r="AB2" s="18"/>
      <c r="AC2" s="18"/>
      <c r="AD2" s="18"/>
    </row>
    <row r="3" spans="3:30" x14ac:dyDescent="0.3">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row>
    <row r="4" spans="3:30" x14ac:dyDescent="0.3">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row>
    <row r="5" spans="3:30" x14ac:dyDescent="0.3">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row>
    <row r="6" spans="3:30" x14ac:dyDescent="0.3">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row>
    <row r="7" spans="3:30" x14ac:dyDescent="0.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row>
    <row r="8" spans="3:30" x14ac:dyDescent="0.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row>
    <row r="9" spans="3:30" x14ac:dyDescent="0.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row>
    <row r="10" spans="3:30" x14ac:dyDescent="0.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row>
    <row r="11" spans="3:30" x14ac:dyDescent="0.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row>
    <row r="12" spans="3:30" x14ac:dyDescent="0.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row>
    <row r="13" spans="3:30" x14ac:dyDescent="0.3">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row>
    <row r="14" spans="3:30" x14ac:dyDescent="0.3">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row>
    <row r="15" spans="3:30" x14ac:dyDescent="0.3">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row>
    <row r="16" spans="3:30" x14ac:dyDescent="0.3">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row>
    <row r="17" spans="3:30" x14ac:dyDescent="0.3">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row>
    <row r="18" spans="3:30" x14ac:dyDescent="0.3">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row>
    <row r="19" spans="3:30" x14ac:dyDescent="0.3">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row>
    <row r="20" spans="3:30" x14ac:dyDescent="0.3">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row>
    <row r="21" spans="3:30" x14ac:dyDescent="0.3">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row>
    <row r="22" spans="3:30" x14ac:dyDescent="0.3">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row>
    <row r="23" spans="3:30" x14ac:dyDescent="0.3">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spans="3:30" x14ac:dyDescent="0.3">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row>
    <row r="25" spans="3:30" x14ac:dyDescent="0.3">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row>
    <row r="26" spans="3:30" x14ac:dyDescent="0.3">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row>
    <row r="27" spans="3:30" x14ac:dyDescent="0.3">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row>
    <row r="28" spans="3:30" x14ac:dyDescent="0.3">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row>
    <row r="29" spans="3:30" x14ac:dyDescent="0.3">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row>
    <row r="30" spans="3:30" x14ac:dyDescent="0.3">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row>
    <row r="31" spans="3:30" x14ac:dyDescent="0.3">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row>
    <row r="32" spans="3:30" x14ac:dyDescent="0.3">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row>
    <row r="33" spans="3:30" x14ac:dyDescent="0.3">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row>
    <row r="34" spans="3:30" x14ac:dyDescent="0.3">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row>
    <row r="35" spans="3:30" x14ac:dyDescent="0.3">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row>
    <row r="36" spans="3:30" x14ac:dyDescent="0.3">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row>
    <row r="37" spans="3:30" x14ac:dyDescent="0.3">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row>
    <row r="38" spans="3:30" x14ac:dyDescent="0.3">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row>
    <row r="39" spans="3:30" x14ac:dyDescent="0.3">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row>
    <row r="40" spans="3:30" x14ac:dyDescent="0.3">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row>
    <row r="41" spans="3:30" x14ac:dyDescent="0.3">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row>
    <row r="42" spans="3:30" x14ac:dyDescent="0.3">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row>
    <row r="43" spans="3:30" x14ac:dyDescent="0.3">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row>
    <row r="44" spans="3:30" x14ac:dyDescent="0.3">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row>
    <row r="45" spans="3:30" x14ac:dyDescent="0.3">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row>
    <row r="46" spans="3:30" x14ac:dyDescent="0.3">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row>
    <row r="47" spans="3:30" x14ac:dyDescent="0.3">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row>
  </sheetData>
  <mergeCells count="3">
    <mergeCell ref="C2:AD4"/>
    <mergeCell ref="C5:AD38"/>
    <mergeCell ref="C39:AD4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dc:creator>
  <cp:lastModifiedBy>achal dhawas</cp:lastModifiedBy>
  <dcterms:created xsi:type="dcterms:W3CDTF">2026-07-29T04:47:41Z</dcterms:created>
  <dcterms:modified xsi:type="dcterms:W3CDTF">2026-07-31T01:21:25Z</dcterms:modified>
</cp:coreProperties>
</file>