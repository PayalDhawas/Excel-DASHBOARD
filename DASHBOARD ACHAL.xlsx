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sachin\Desktop\"/>
    </mc:Choice>
  </mc:AlternateContent>
  <xr:revisionPtr revIDLastSave="0" documentId="13_ncr:1_{47FBFA43-D6DC-426E-8ABB-EBD60777D9C9}" xr6:coauthVersionLast="47" xr6:coauthVersionMax="47" xr10:uidLastSave="{00000000-0000-0000-0000-000000000000}"/>
  <bookViews>
    <workbookView xWindow="0" yWindow="360" windowWidth="23256" windowHeight="12456" activeTab="2" xr2:uid="{FA70F6A5-1E68-42B6-B550-FC830C65B8A6}"/>
  </bookViews>
  <sheets>
    <sheet name="Sales" sheetId="1" r:id="rId1"/>
    <sheet name="Pivot Table" sheetId="2" r:id="rId2"/>
    <sheet name="DASHBOARD" sheetId="3" r:id="rId3"/>
  </sheets>
  <definedNames>
    <definedName name="_xlchart.v5.0" hidden="1">'Pivot Table'!$J$18</definedName>
    <definedName name="_xlchart.v5.1" hidden="1">'Pivot Table'!$J$19:$J$40</definedName>
    <definedName name="_xlchart.v5.2" hidden="1">'Pivot Table'!$K$18</definedName>
    <definedName name="_xlchart.v5.3" hidden="1">'Pivot Table'!$K$19:$K$40</definedName>
    <definedName name="Slicer_Region">#N/A</definedName>
  </definedNames>
  <calcPr calcId="191029"/>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<sst xmlns="http://schemas.openxmlformats.org/spreadsheetml/2006/main" count="204" uniqueCount="66">
  <si>
    <t>Month</t>
  </si>
  <si>
    <t>Region</t>
  </si>
  <si>
    <t>State</t>
  </si>
  <si>
    <t>Category</t>
  </si>
  <si>
    <t>Product</t>
  </si>
  <si>
    <t>Total Sales</t>
  </si>
  <si>
    <t>Orders</t>
  </si>
  <si>
    <t>Quantity Sold</t>
  </si>
  <si>
    <t>Profit</t>
  </si>
  <si>
    <t>Avg. Order Value</t>
  </si>
  <si>
    <t>January</t>
  </si>
  <si>
    <t>North</t>
  </si>
  <si>
    <t>Delhi</t>
  </si>
  <si>
    <t>Electronics</t>
  </si>
  <si>
    <t>Laptop</t>
  </si>
  <si>
    <t>Punjab</t>
  </si>
  <si>
    <t>Mobile</t>
  </si>
  <si>
    <t>South</t>
  </si>
  <si>
    <t>Karnataka</t>
  </si>
  <si>
    <t>February</t>
  </si>
  <si>
    <t>Tamil Nadu</t>
  </si>
  <si>
    <t>East</t>
  </si>
  <si>
    <t>West Bengal</t>
  </si>
  <si>
    <t>March</t>
  </si>
  <si>
    <t>Odisha</t>
  </si>
  <si>
    <t>West</t>
  </si>
  <si>
    <t>Maharashtra</t>
  </si>
  <si>
    <t>April</t>
  </si>
  <si>
    <t>Gujarat</t>
  </si>
  <si>
    <t>Haryana</t>
  </si>
  <si>
    <t>Tablet</t>
  </si>
  <si>
    <t>May</t>
  </si>
  <si>
    <t>Uttar Pradesh</t>
  </si>
  <si>
    <t>Furniture</t>
  </si>
  <si>
    <t>Chair</t>
  </si>
  <si>
    <t>Kerala</t>
  </si>
  <si>
    <t>June</t>
  </si>
  <si>
    <t>Andhra Pradesh</t>
  </si>
  <si>
    <t>Table</t>
  </si>
  <si>
    <t>Bihar</t>
  </si>
  <si>
    <t>July</t>
  </si>
  <si>
    <t>Jharkhand</t>
  </si>
  <si>
    <t>Madhya Pradesh</t>
  </si>
  <si>
    <t>August</t>
  </si>
  <si>
    <t>Goa</t>
  </si>
  <si>
    <t>Rajasthan</t>
  </si>
  <si>
    <t>September</t>
  </si>
  <si>
    <t>Telangana</t>
  </si>
  <si>
    <t>Assam</t>
  </si>
  <si>
    <t>October</t>
  </si>
  <si>
    <t>Dadra &amp; Nagar Haveli</t>
  </si>
  <si>
    <t>Office Supplies</t>
  </si>
  <si>
    <t>Printer</t>
  </si>
  <si>
    <t>Uttarakhand</t>
  </si>
  <si>
    <t>November</t>
  </si>
  <si>
    <t>Chhattisgarh</t>
  </si>
  <si>
    <t>December</t>
  </si>
  <si>
    <t>Grand Total</t>
  </si>
  <si>
    <t>Row Labels</t>
  </si>
  <si>
    <t>Sum of Profit</t>
  </si>
  <si>
    <t>SALES PERFORMANCE DASHBOARD</t>
  </si>
  <si>
    <t>Sum of Total Sales</t>
  </si>
  <si>
    <t>Count of Orders</t>
  </si>
  <si>
    <t>Average of Total Sales</t>
  </si>
  <si>
    <t>Column1</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</si>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</sst>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4" x14ac:knownFonts="1">
    <font>
      <sz val="11"/>
      <color theme="1"/>
      <name val="Calibri"/>
      <family val="2"/>
      <scheme val="minor"/>
    </font>
    <font>
      <b/>
      <sz val="11"/>
      <color theme="1"/>
      <name val="Calibri"/>
      <family val="2"/>
      <scheme val="minor"/>
    </font>
    <font>
      <b/>
      <sz val="36"/>
      <color theme="0"/>
      <name val="Calibri"/>
      <family val="2"/>
      <scheme val="minor"/>
    </font>
    <font>
      <b/>
      <sz val="11"/>
      <color theme="0"/>
      <name val="Calibri"/>
      <family val="2"/>
      <scheme val="minor"/>
    </font>
  </fonts>
  <fills count="5">
    <fill>
      <patternFill patternType="none"/>
    </fill>
    <fill>
      <patternFill patternType="gray125"/>
    </fill>
    <fill>
      <patternFill patternType="solid">
        <fgColor rgb="FF002060"/>
        <bgColor indexed="64"/>
      </patternFill>
    </fill>
    <fill>
      <patternFill patternType="solid">
        <fgColor theme="4" tint="0.79998168889431442"/>
        <bgColor theme="4" tint="0.79998168889431442"/>
      </patternFill>
    </fill>
    <fill>
      <patternFill patternType="solid">
        <fgColor theme="4"/>
        <bgColor theme="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37">
    <xf numFmtId="0" fontId="0" fillId="0" borderId="0" xfId="0"/>
    <xf numFmtId="0" fontId="1" fillId="0" borderId="0" xfId="0" applyFont="1" applyAlignment="1">
      <alignment horizontal="right" vertical="center" wrapText="1"/>
    </xf>
    <xf numFmtId="0" fontId="1" fillId="0" borderId="0" xfId="0" applyFont="1" applyAlignment="1">
      <alignment vertical="center" wrapText="1"/>
    </xf>
    <xf numFmtId="3" fontId="1" fillId="0" borderId="0" xfId="0" applyNumberFormat="1" applyFont="1" applyAlignment="1">
      <alignment horizontal="right" vertical="center" wrapText="1"/>
    </xf>
    <xf numFmtId="0" fontId="0" fillId="0" borderId="0" xfId="0" pivotButton="1"/>
    <xf numFmtId="0" fontId="0" fillId="0" borderId="0" xfId="0" applyAlignment="1">
      <alignment horizontal="left"/>
    </xf>
    <xf numFmtId="164" fontId="0" fillId="0" borderId="0" xfId="0" applyNumberFormat="1"/>
    <xf numFmtId="0" fontId="3" fillId="4" borderId="14" xfId="0" applyFont="1" applyFill="1" applyBorder="1" applyAlignment="1">
      <alignment horizontal="center" vertical="center" wrapText="1"/>
    </xf>
    <xf numFmtId="0" fontId="3" fillId="4" borderId="10" xfId="0" applyFont="1" applyFill="1" applyBorder="1" applyAlignment="1">
      <alignment horizontal="center" vertical="center" wrapText="1"/>
    </xf>
    <xf numFmtId="0" fontId="3" fillId="4" borderId="10" xfId="0" applyFont="1" applyFill="1" applyBorder="1" applyAlignment="1">
      <alignment horizontal="right" vertical="center" wrapText="1"/>
    </xf>
    <xf numFmtId="0" fontId="3" fillId="4" borderId="15" xfId="0" applyFont="1" applyFill="1" applyBorder="1" applyAlignment="1">
      <alignment horizontal="right" vertical="center" wrapText="1"/>
    </xf>
    <xf numFmtId="0" fontId="0" fillId="3" borderId="14" xfId="0" applyFill="1" applyBorder="1" applyAlignment="1">
      <alignment vertical="center" wrapText="1"/>
    </xf>
    <xf numFmtId="0" fontId="0" fillId="3" borderId="10" xfId="0" applyFill="1" applyBorder="1" applyAlignment="1">
      <alignment vertical="center" wrapText="1"/>
    </xf>
    <xf numFmtId="3" fontId="0" fillId="3" borderId="10" xfId="0" applyNumberFormat="1" applyFill="1" applyBorder="1" applyAlignment="1">
      <alignment horizontal="right" vertical="center" wrapText="1"/>
    </xf>
    <xf numFmtId="0" fontId="0" fillId="3" borderId="10" xfId="0" applyFill="1" applyBorder="1" applyAlignment="1">
      <alignment horizontal="right" vertical="center" wrapText="1"/>
    </xf>
    <xf numFmtId="0" fontId="0" fillId="3" borderId="15" xfId="0" applyFill="1" applyBorder="1" applyAlignment="1">
      <alignment horizontal="right" vertical="center" wrapText="1"/>
    </xf>
    <xf numFmtId="0" fontId="0" fillId="0" borderId="14" xfId="0" applyBorder="1" applyAlignment="1">
      <alignment vertical="center" wrapText="1"/>
    </xf>
    <xf numFmtId="0" fontId="0" fillId="0" borderId="10" xfId="0" applyBorder="1" applyAlignment="1">
      <alignment vertical="center" wrapText="1"/>
    </xf>
    <xf numFmtId="3" fontId="0" fillId="0" borderId="10" xfId="0" applyNumberFormat="1" applyBorder="1" applyAlignment="1">
      <alignment horizontal="right" vertical="center" wrapText="1"/>
    </xf>
    <xf numFmtId="0" fontId="0" fillId="0" borderId="10" xfId="0" applyBorder="1" applyAlignment="1">
      <alignment horizontal="right" vertical="center" wrapText="1"/>
    </xf>
    <xf numFmtId="0" fontId="0" fillId="0" borderId="15" xfId="0" applyBorder="1" applyAlignment="1">
      <alignment horizontal="right" vertical="center" wrapText="1"/>
    </xf>
    <xf numFmtId="0" fontId="0" fillId="3" borderId="11" xfId="0" applyFill="1" applyBorder="1" applyAlignment="1">
      <alignment vertical="center" wrapText="1"/>
    </xf>
    <xf numFmtId="0" fontId="0" fillId="3" borderId="13" xfId="0" applyFill="1" applyBorder="1" applyAlignment="1">
      <alignment vertical="center" wrapText="1"/>
    </xf>
    <xf numFmtId="3" fontId="0" fillId="3" borderId="13" xfId="0" applyNumberFormat="1" applyFill="1" applyBorder="1" applyAlignment="1">
      <alignment horizontal="right" vertical="center" wrapText="1"/>
    </xf>
    <xf numFmtId="0" fontId="0" fillId="3" borderId="13" xfId="0" applyFill="1" applyBorder="1" applyAlignment="1">
      <alignment horizontal="right" vertical="center" wrapText="1"/>
    </xf>
    <xf numFmtId="0" fontId="0" fillId="3" borderId="12" xfId="0" applyFill="1" applyBorder="1" applyAlignment="1">
      <alignment horizontal="right" vertical="center" wrapText="1"/>
    </xf>
    <xf numFmtId="0" fontId="2" fillId="2" borderId="1" xfId="0" applyFont="1" applyFill="1" applyBorder="1" applyAlignment="1">
      <alignment horizontal="center" vertical="center"/>
    </xf>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0" xfId="0" applyFill="1"/>
    <xf numFmtId="0" fontId="0" fillId="2" borderId="6" xfId="0" applyFill="1" applyBorder="1"/>
    <xf numFmtId="0" fontId="0" fillId="2" borderId="7" xfId="0" applyFill="1" applyBorder="1"/>
    <xf numFmtId="0" fontId="0" fillId="2" borderId="8" xfId="0" applyFill="1" applyBorder="1"/>
    <xf numFmtId="0" fontId="0" fillId="2" borderId="9" xfId="0" applyFill="1" applyBorder="1"/>
    <xf numFmtId="0" fontId="0" fillId="0" borderId="0" xfId="0" applyNumberFormat="1"/>
  </cellXfs>
  <cellStyles count="1">
    <cellStyle name="Normal" xfId="0" builtinId="0"/>
  </cellStyles>
  <dxfs count="2">
    <dxf>
      <numFmt numFmtId="0" formatCode="General"/>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3.xlsx]Pivot Table!MONTHS</c:name>
    <c:fmtId val="9"/>
  </c:pivotSource>
  <c:chart>
    <c:title>
      <c:tx>
        <c:rich>
          <a:bodyPr rot="0" spcFirstLastPara="1" vertOverflow="ellipsis" vert="horz" wrap="square" anchor="ctr" anchorCtr="1"/>
          <a:lstStyle/>
          <a:p>
            <a:pPr>
              <a:defRPr sz="1600" b="1" i="1" u="none" strike="noStrike" kern="1200" cap="none" baseline="0">
                <a:solidFill>
                  <a:srgbClr val="FF0000"/>
                </a:solidFill>
                <a:latin typeface="+mn-lt"/>
                <a:ea typeface="+mn-ea"/>
                <a:cs typeface="+mn-cs"/>
              </a:defRPr>
            </a:pPr>
            <a:r>
              <a:rPr lang="en-US" sz="1600" i="1">
                <a:solidFill>
                  <a:srgbClr val="FF0000"/>
                </a:solidFill>
              </a:rPr>
              <a:t>PROFIT BY MONTHS</a:t>
            </a:r>
          </a:p>
        </c:rich>
      </c:tx>
      <c:overlay val="0"/>
      <c:spPr>
        <a:noFill/>
        <a:ln>
          <a:noFill/>
        </a:ln>
        <a:effectLst/>
      </c:spPr>
      <c:txPr>
        <a:bodyPr rot="0" spcFirstLastPara="1" vertOverflow="ellipsis" vert="horz" wrap="square" anchor="ctr" anchorCtr="1"/>
        <a:lstStyle/>
        <a:p>
          <a:pPr>
            <a:defRPr sz="1600" b="1" i="1" u="none" strike="noStrike" kern="1200" cap="none" baseline="0">
              <a:solidFill>
                <a:srgbClr val="FF0000"/>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Table'!$A$4:$A$9</c:f>
              <c:strCache>
                <c:ptCount val="5"/>
                <c:pt idx="0">
                  <c:v>January</c:v>
                </c:pt>
                <c:pt idx="1">
                  <c:v>April</c:v>
                </c:pt>
                <c:pt idx="2">
                  <c:v>May</c:v>
                </c:pt>
                <c:pt idx="3">
                  <c:v>August</c:v>
                </c:pt>
                <c:pt idx="4">
                  <c:v>October</c:v>
                </c:pt>
              </c:strCache>
            </c:strRef>
          </c:cat>
          <c:val>
            <c:numRef>
              <c:f>'Pivot Table'!$B$4:$B$9</c:f>
              <c:numCache>
                <c:formatCode>General</c:formatCode>
                <c:ptCount val="5"/>
                <c:pt idx="0">
                  <c:v>18700</c:v>
                </c:pt>
                <c:pt idx="1">
                  <c:v>4900</c:v>
                </c:pt>
                <c:pt idx="2">
                  <c:v>3640</c:v>
                </c:pt>
                <c:pt idx="3">
                  <c:v>5070</c:v>
                </c:pt>
                <c:pt idx="4">
                  <c:v>3200</c:v>
                </c:pt>
              </c:numCache>
            </c:numRef>
          </c:val>
          <c:smooth val="0"/>
          <c:extLst>
            <c:ext xmlns:c16="http://schemas.microsoft.com/office/drawing/2014/chart" uri="{C3380CC4-5D6E-409C-BE32-E72D297353CC}">
              <c16:uniqueId val="{00000000-F4A7-4D00-86E7-A58E07692442}"/>
            </c:ext>
          </c:extLst>
        </c:ser>
        <c:dLbls>
          <c:dLblPos val="t"/>
          <c:showLegendKey val="0"/>
          <c:showVal val="1"/>
          <c:showCatName val="0"/>
          <c:showSerName val="0"/>
          <c:showPercent val="0"/>
          <c:showBubbleSize val="0"/>
        </c:dLbls>
        <c:marker val="1"/>
        <c:smooth val="0"/>
        <c:axId val="1767558431"/>
        <c:axId val="1767566335"/>
      </c:lineChart>
      <c:catAx>
        <c:axId val="17675584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75000"/>
                  </a:schemeClr>
                </a:solidFill>
                <a:latin typeface="+mn-lt"/>
                <a:ea typeface="+mn-ea"/>
                <a:cs typeface="+mn-cs"/>
              </a:defRPr>
            </a:pPr>
            <a:endParaRPr lang="en-US"/>
          </a:p>
        </c:txPr>
        <c:crossAx val="1767566335"/>
        <c:crosses val="autoZero"/>
        <c:auto val="1"/>
        <c:lblAlgn val="ctr"/>
        <c:lblOffset val="100"/>
        <c:noMultiLvlLbl val="0"/>
      </c:catAx>
      <c:valAx>
        <c:axId val="1767566335"/>
        <c:scaling>
          <c:orientation val="minMax"/>
        </c:scaling>
        <c:delete val="1"/>
        <c:axPos val="l"/>
        <c:numFmt formatCode="General" sourceLinked="1"/>
        <c:majorTickMark val="none"/>
        <c:minorTickMark val="none"/>
        <c:tickLblPos val="nextTo"/>
        <c:crossAx val="176755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3.xlsx]Pivot Table!REGION</c:name>
    <c:fmtId val="7"/>
  </c:pivotSource>
  <c:chart>
    <c:title>
      <c:tx>
        <c:rich>
          <a:bodyPr rot="0" spcFirstLastPara="1" vertOverflow="ellipsis" vert="horz" wrap="square" anchor="ctr" anchorCtr="1"/>
          <a:lstStyle/>
          <a:p>
            <a:pPr algn="ctr" rtl="0">
              <a:defRPr lang="en-US" sz="1600" b="1" i="1" u="none" strike="noStrike" kern="1200" cap="none" spc="0" baseline="0">
                <a:solidFill>
                  <a:srgbClr val="FF0000"/>
                </a:solidFill>
                <a:latin typeface="+mn-lt"/>
                <a:ea typeface="+mn-ea"/>
                <a:cs typeface="+mn-cs"/>
              </a:defRPr>
            </a:pPr>
            <a:r>
              <a:rPr lang="en-US" sz="1600" b="1" i="1" u="none" strike="noStrike" kern="1200" cap="none" baseline="0">
                <a:solidFill>
                  <a:srgbClr val="FF0000"/>
                </a:solidFill>
                <a:latin typeface="+mn-lt"/>
                <a:ea typeface="+mn-ea"/>
                <a:cs typeface="+mn-cs"/>
              </a:rPr>
              <a:t>SALES BY REGION</a:t>
            </a:r>
          </a:p>
        </c:rich>
      </c:tx>
      <c:overlay val="0"/>
      <c:spPr>
        <a:noFill/>
        <a:ln>
          <a:noFill/>
        </a:ln>
        <a:effectLst/>
      </c:spPr>
      <c:txPr>
        <a:bodyPr rot="0" spcFirstLastPara="1" vertOverflow="ellipsis" vert="horz" wrap="square" anchor="ctr" anchorCtr="1"/>
        <a:lstStyle/>
        <a:p>
          <a:pPr algn="ctr" rtl="0">
            <a:defRPr lang="en-US" sz="1600" b="1" i="1" u="none" strike="noStrike" kern="1200" cap="none" spc="0" baseline="0">
              <a:solidFill>
                <a:srgbClr val="FF0000"/>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6734706064130103E-2"/>
          <c:y val="9.32078626263044E-2"/>
          <c:w val="0.93888888888888888"/>
          <c:h val="0.72088764946048411"/>
        </c:manualLayout>
      </c:layout>
      <c:bar3DChart>
        <c:barDir val="col"/>
        <c:grouping val="clustered"/>
        <c:varyColors val="0"/>
        <c:ser>
          <c:idx val="0"/>
          <c:order val="0"/>
          <c:tx>
            <c:strRef>
              <c:f>'Pivot Table'!$E$3</c:f>
              <c:strCache>
                <c:ptCount val="1"/>
                <c:pt idx="0">
                  <c:v>Total</c:v>
                </c:pt>
              </c:strCache>
            </c:strRef>
          </c:tx>
          <c:spPr>
            <a:solidFill>
              <a:schemeClr val="accent6">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Table'!$D$4:$D$5</c:f>
              <c:strCache>
                <c:ptCount val="1"/>
                <c:pt idx="0">
                  <c:v>North</c:v>
                </c:pt>
              </c:strCache>
            </c:strRef>
          </c:cat>
          <c:val>
            <c:numRef>
              <c:f>'Pivot Table'!$E$4:$E$5</c:f>
              <c:numCache>
                <c:formatCode>General</c:formatCode>
                <c:ptCount val="1"/>
                <c:pt idx="0">
                  <c:v>184500</c:v>
                </c:pt>
              </c:numCache>
            </c:numRef>
          </c:val>
          <c:extLst>
            <c:ext xmlns:c16="http://schemas.microsoft.com/office/drawing/2014/chart" uri="{C3380CC4-5D6E-409C-BE32-E72D297353CC}">
              <c16:uniqueId val="{00000000-0E7E-417D-8497-136D8BCD2669}"/>
            </c:ext>
          </c:extLst>
        </c:ser>
        <c:dLbls>
          <c:showLegendKey val="0"/>
          <c:showVal val="1"/>
          <c:showCatName val="0"/>
          <c:showSerName val="0"/>
          <c:showPercent val="0"/>
          <c:showBubbleSize val="0"/>
        </c:dLbls>
        <c:gapWidth val="150"/>
        <c:shape val="box"/>
        <c:axId val="1767562175"/>
        <c:axId val="1767567167"/>
        <c:axId val="0"/>
      </c:bar3DChart>
      <c:catAx>
        <c:axId val="17675621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767567167"/>
        <c:crosses val="autoZero"/>
        <c:auto val="1"/>
        <c:lblAlgn val="ctr"/>
        <c:lblOffset val="100"/>
        <c:noMultiLvlLbl val="0"/>
      </c:catAx>
      <c:valAx>
        <c:axId val="1767567167"/>
        <c:scaling>
          <c:orientation val="minMax"/>
        </c:scaling>
        <c:delete val="1"/>
        <c:axPos val="l"/>
        <c:numFmt formatCode="General" sourceLinked="1"/>
        <c:majorTickMark val="none"/>
        <c:minorTickMark val="none"/>
        <c:tickLblPos val="nextTo"/>
        <c:crossAx val="1767562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3.xlsx]Pivot Table!PivotTable6</c:name>
    <c:fmtId val="8"/>
  </c:pivotSource>
  <c:chart>
    <c:title>
      <c:tx>
        <c:rich>
          <a:bodyPr rot="0" spcFirstLastPara="1" vertOverflow="ellipsis" vert="horz" wrap="square" anchor="ctr" anchorCtr="1"/>
          <a:lstStyle/>
          <a:p>
            <a:pPr algn="ctr" rtl="0">
              <a:defRPr lang="en-US" sz="1600" b="1" i="1" u="none" strike="noStrike" kern="1200" cap="none" spc="0" baseline="0">
                <a:solidFill>
                  <a:srgbClr val="FF0000"/>
                </a:solidFill>
                <a:latin typeface="+mn-lt"/>
                <a:ea typeface="+mn-ea"/>
                <a:cs typeface="+mn-cs"/>
              </a:defRPr>
            </a:pPr>
            <a:r>
              <a:rPr lang="en-US" sz="1600" b="1" i="1" u="none" strike="noStrike" kern="1200" cap="none" baseline="0">
                <a:solidFill>
                  <a:srgbClr val="FF0000"/>
                </a:solidFill>
                <a:latin typeface="+mn-lt"/>
                <a:ea typeface="+mn-ea"/>
                <a:cs typeface="+mn-cs"/>
              </a:rPr>
              <a:t>SALES BY REGION</a:t>
            </a:r>
          </a:p>
        </c:rich>
      </c:tx>
      <c:overlay val="0"/>
      <c:spPr>
        <a:noFill/>
        <a:ln>
          <a:noFill/>
        </a:ln>
        <a:effectLst/>
      </c:spPr>
      <c:txPr>
        <a:bodyPr rot="0" spcFirstLastPara="1" vertOverflow="ellipsis" vert="horz" wrap="square" anchor="ctr" anchorCtr="1"/>
        <a:lstStyle/>
        <a:p>
          <a:pPr algn="ctr" rtl="0">
            <a:defRPr lang="en-US" sz="1600" b="1" i="1" u="none" strike="noStrike" kern="1200" cap="none" spc="0" baseline="0">
              <a:solidFill>
                <a:srgbClr val="FF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0.19833259133372019"/>
              <c:y val="-7.355562216133239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Table'!$E$20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AF-499F-B1A6-BBA821614C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AF-499F-B1A6-BBA821614C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7AF-499F-B1A6-BBA821614C3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7AF-499F-B1A6-BBA821614C37}"/>
              </c:ext>
            </c:extLst>
          </c:dPt>
          <c:dLbls>
            <c:dLbl>
              <c:idx val="0"/>
              <c:layout>
                <c:manualLayout>
                  <c:x val="-0.19833259133372019"/>
                  <c:y val="-7.355562216133239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7AF-499F-B1A6-BBA821614C3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Table'!$D$21:$D$22</c:f>
              <c:strCache>
                <c:ptCount val="1"/>
                <c:pt idx="0">
                  <c:v>North</c:v>
                </c:pt>
              </c:strCache>
            </c:strRef>
          </c:cat>
          <c:val>
            <c:numRef>
              <c:f>'Pivot Table'!$E$21:$E$22</c:f>
              <c:numCache>
                <c:formatCode>General</c:formatCode>
                <c:ptCount val="1"/>
                <c:pt idx="0">
                  <c:v>35510</c:v>
                </c:pt>
              </c:numCache>
            </c:numRef>
          </c:val>
          <c:extLst>
            <c:ext xmlns:c16="http://schemas.microsoft.com/office/drawing/2014/chart" uri="{C3380CC4-5D6E-409C-BE32-E72D297353CC}">
              <c16:uniqueId val="{00000008-57AF-499F-B1A6-BBA821614C3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tx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3.xlsx]Pivot Table!CATEGORY</c:name>
    <c:fmtId val="12"/>
  </c:pivotSource>
  <c:chart>
    <c:title>
      <c:tx>
        <c:rich>
          <a:bodyPr rot="0" spcFirstLastPara="1" vertOverflow="ellipsis" vert="horz" wrap="square" anchor="ctr" anchorCtr="1"/>
          <a:lstStyle/>
          <a:p>
            <a:pPr algn="ctr" rtl="0">
              <a:defRPr lang="en-IN" sz="1600" b="1" i="1" u="none" strike="noStrike" kern="1200" cap="none" spc="0" baseline="0">
                <a:solidFill>
                  <a:srgbClr val="FF0000"/>
                </a:solidFill>
                <a:latin typeface="+mn-lt"/>
                <a:ea typeface="+mn-ea"/>
                <a:cs typeface="+mn-cs"/>
              </a:defRPr>
            </a:pPr>
            <a:r>
              <a:rPr lang="en-IN" sz="1600" b="1" i="1" u="none" strike="noStrike" kern="1200" cap="none" spc="0" baseline="0">
                <a:solidFill>
                  <a:srgbClr val="FF0000"/>
                </a:solidFill>
                <a:latin typeface="+mn-lt"/>
                <a:ea typeface="+mn-ea"/>
                <a:cs typeface="+mn-cs"/>
              </a:rPr>
              <a:t>SALES BY CATEGORY</a:t>
            </a:r>
          </a:p>
        </c:rich>
      </c:tx>
      <c:overlay val="0"/>
      <c:spPr>
        <a:noFill/>
        <a:ln>
          <a:noFill/>
        </a:ln>
        <a:effectLst/>
      </c:spPr>
      <c:txPr>
        <a:bodyPr rot="0" spcFirstLastPara="1" vertOverflow="ellipsis" vert="horz" wrap="square" anchor="ctr" anchorCtr="1"/>
        <a:lstStyle/>
        <a:p>
          <a:pPr algn="ctr" rtl="0">
            <a:defRPr lang="en-IN" sz="1600" b="1" i="1" u="none" strike="noStrike" kern="1200" cap="none" spc="0" baseline="0">
              <a:solidFill>
                <a:srgbClr val="FF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2975418005469237"/>
          <c:y val="0.24208078156897053"/>
          <c:w val="0.40047572178477692"/>
          <c:h val="0.66745953630796151"/>
        </c:manualLayout>
      </c:layout>
      <c:doughnutChart>
        <c:varyColors val="1"/>
        <c:ser>
          <c:idx val="0"/>
          <c:order val="0"/>
          <c:tx>
            <c:strRef>
              <c:f>'Pivot Table'!$E$12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22-479F-9502-521B545A2B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22-479F-9502-521B545A2B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22-479F-9502-521B545A2B6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Table'!$D$13:$D$16</c:f>
              <c:strCache>
                <c:ptCount val="3"/>
                <c:pt idx="0">
                  <c:v>Electronics</c:v>
                </c:pt>
                <c:pt idx="1">
                  <c:v>Furniture</c:v>
                </c:pt>
                <c:pt idx="2">
                  <c:v>Office Supplies</c:v>
                </c:pt>
              </c:strCache>
            </c:strRef>
          </c:cat>
          <c:val>
            <c:numRef>
              <c:f>'Pivot Table'!$E$13:$E$16</c:f>
              <c:numCache>
                <c:formatCode>General</c:formatCode>
                <c:ptCount val="3"/>
                <c:pt idx="0">
                  <c:v>118000</c:v>
                </c:pt>
                <c:pt idx="1">
                  <c:v>47500</c:v>
                </c:pt>
                <c:pt idx="2">
                  <c:v>19000</c:v>
                </c:pt>
              </c:numCache>
            </c:numRef>
          </c:val>
          <c:extLst>
            <c:ext xmlns:c16="http://schemas.microsoft.com/office/drawing/2014/chart" uri="{C3380CC4-5D6E-409C-BE32-E72D297353CC}">
              <c16:uniqueId val="{00000006-C822-479F-9502-521B545A2B69}"/>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60532">
          <a:srgbClr val="8C9DBB"/>
        </a:gs>
        <a:gs pos="100000">
          <a:schemeClr val="tx1"/>
        </a:gs>
        <a:gs pos="74000">
          <a:schemeClr val="accent1">
            <a:lumMod val="45000"/>
            <a:lumOff val="55000"/>
          </a:schemeClr>
        </a:gs>
        <a:gs pos="36743">
          <a:srgbClr val="555F72"/>
        </a:gs>
        <a:gs pos="98000">
          <a:schemeClr val="accent1">
            <a:lumMod val="20000"/>
            <a:lumOff val="80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3.xlsx]Pivot Table!product</c:name>
    <c:fmtId val="11"/>
  </c:pivotSource>
  <c:chart>
    <c:title>
      <c:tx>
        <c:rich>
          <a:bodyPr rot="0" spcFirstLastPara="1" vertOverflow="ellipsis" vert="horz" wrap="square" anchor="ctr" anchorCtr="1"/>
          <a:lstStyle/>
          <a:p>
            <a:pPr algn="ctr" rtl="0">
              <a:defRPr lang="en-US" sz="1600" b="1" i="1" u="none" strike="noStrike" kern="1200" cap="none" spc="0" baseline="0">
                <a:solidFill>
                  <a:srgbClr val="FF0000"/>
                </a:solidFill>
                <a:latin typeface="+mn-lt"/>
                <a:ea typeface="+mn-ea"/>
                <a:cs typeface="+mn-cs"/>
              </a:defRPr>
            </a:pPr>
            <a:r>
              <a:rPr lang="en-US" sz="1600" b="1" i="1" u="none" strike="noStrike" kern="1200" cap="none" baseline="0">
                <a:solidFill>
                  <a:srgbClr val="FF0000"/>
                </a:solidFill>
                <a:latin typeface="+mn-lt"/>
                <a:ea typeface="+mn-ea"/>
                <a:cs typeface="+mn-cs"/>
              </a:rPr>
              <a:t>SALES BY PRODUCT</a:t>
            </a:r>
          </a:p>
        </c:rich>
      </c:tx>
      <c:overlay val="0"/>
      <c:spPr>
        <a:noFill/>
        <a:ln>
          <a:noFill/>
        </a:ln>
        <a:effectLst/>
      </c:spPr>
      <c:txPr>
        <a:bodyPr rot="0" spcFirstLastPara="1" vertOverflow="ellipsis" vert="horz" wrap="square" anchor="ctr" anchorCtr="1"/>
        <a:lstStyle/>
        <a:p>
          <a:pPr algn="ctr" rtl="0">
            <a:defRPr lang="en-US" sz="1600" b="1" i="1" u="none" strike="noStrike" kern="1200" cap="none"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341469816272967"/>
          <c:y val="0.10689814814814817"/>
          <c:w val="0.85658530183727033"/>
          <c:h val="0.77736111111111106"/>
        </c:manualLayout>
      </c:layout>
      <c:bar3DChart>
        <c:barDir val="bar"/>
        <c:grouping val="clustered"/>
        <c:varyColors val="0"/>
        <c:ser>
          <c:idx val="0"/>
          <c:order val="0"/>
          <c:tx>
            <c:strRef>
              <c:f>'Pivot Table'!$H$3</c:f>
              <c:strCache>
                <c:ptCount val="1"/>
                <c:pt idx="0">
                  <c:v>Total</c:v>
                </c:pt>
              </c:strCache>
            </c:strRef>
          </c:tx>
          <c:spPr>
            <a:solidFill>
              <a:srgbClr val="00B05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Table'!$G$4:$G$10</c:f>
              <c:strCache>
                <c:ptCount val="6"/>
                <c:pt idx="0">
                  <c:v>Chair</c:v>
                </c:pt>
                <c:pt idx="1">
                  <c:v>Laptop</c:v>
                </c:pt>
                <c:pt idx="2">
                  <c:v>Mobile</c:v>
                </c:pt>
                <c:pt idx="3">
                  <c:v>Printer</c:v>
                </c:pt>
                <c:pt idx="4">
                  <c:v>Table</c:v>
                </c:pt>
                <c:pt idx="5">
                  <c:v>Tablet</c:v>
                </c:pt>
              </c:strCache>
            </c:strRef>
          </c:cat>
          <c:val>
            <c:numRef>
              <c:f>'Pivot Table'!$H$4:$H$10</c:f>
              <c:numCache>
                <c:formatCode>General</c:formatCode>
                <c:ptCount val="6"/>
                <c:pt idx="0">
                  <c:v>20800</c:v>
                </c:pt>
                <c:pt idx="1">
                  <c:v>52000</c:v>
                </c:pt>
                <c:pt idx="2">
                  <c:v>41500</c:v>
                </c:pt>
                <c:pt idx="3">
                  <c:v>19000</c:v>
                </c:pt>
                <c:pt idx="4">
                  <c:v>26700</c:v>
                </c:pt>
                <c:pt idx="5">
                  <c:v>24500</c:v>
                </c:pt>
              </c:numCache>
            </c:numRef>
          </c:val>
          <c:extLst>
            <c:ext xmlns:c16="http://schemas.microsoft.com/office/drawing/2014/chart" uri="{C3380CC4-5D6E-409C-BE32-E72D297353CC}">
              <c16:uniqueId val="{00000000-D9C3-4DD1-8BAA-2FA91B1065D2}"/>
            </c:ext>
          </c:extLst>
        </c:ser>
        <c:dLbls>
          <c:showLegendKey val="0"/>
          <c:showVal val="1"/>
          <c:showCatName val="0"/>
          <c:showSerName val="0"/>
          <c:showPercent val="0"/>
          <c:showBubbleSize val="0"/>
        </c:dLbls>
        <c:gapWidth val="150"/>
        <c:shape val="box"/>
        <c:axId val="1464728399"/>
        <c:axId val="1464724239"/>
        <c:axId val="0"/>
      </c:bar3DChart>
      <c:catAx>
        <c:axId val="1464728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64724239"/>
        <c:crosses val="autoZero"/>
        <c:auto val="1"/>
        <c:lblAlgn val="ctr"/>
        <c:lblOffset val="100"/>
        <c:noMultiLvlLbl val="0"/>
      </c:catAx>
      <c:valAx>
        <c:axId val="1464724239"/>
        <c:scaling>
          <c:orientation val="minMax"/>
        </c:scaling>
        <c:delete val="1"/>
        <c:axPos val="b"/>
        <c:numFmt formatCode="General" sourceLinked="1"/>
        <c:majorTickMark val="none"/>
        <c:minorTickMark val="none"/>
        <c:tickLblPos val="nextTo"/>
        <c:crossAx val="146472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pPr>
            <a:r>
              <a:rPr lang="en-US" sz="1600" b="1" i="1" u="none" strike="noStrike" kern="1200" cap="none" baseline="0">
                <a:solidFill>
                  <a:srgbClr val="FF0000"/>
                </a:solidFill>
                <a:latin typeface="+mn-lt"/>
                <a:ea typeface="+mn-ea"/>
                <a:cs typeface="+mn-cs"/>
              </a:rPr>
              <a:t>PROFIT</a:t>
            </a:r>
            <a:r>
              <a:rPr lang="en-US" sz="1400" b="0" i="0" u="none" strike="noStrike" baseline="0">
                <a:solidFill>
                  <a:sysClr val="windowText" lastClr="000000">
                    <a:lumMod val="65000"/>
                    <a:lumOff val="35000"/>
                  </a:sysClr>
                </a:solidFill>
                <a:latin typeface="Calibri" panose="020F0502020204030204"/>
              </a:rPr>
              <a:t> </a:t>
            </a:r>
            <a:r>
              <a:rPr lang="en-US" sz="1600" b="1" i="1" u="none" strike="noStrike" kern="1200" cap="none" baseline="0">
                <a:solidFill>
                  <a:srgbClr val="FF0000"/>
                </a:solidFill>
                <a:latin typeface="+mn-lt"/>
                <a:ea typeface="+mn-ea"/>
                <a:cs typeface="+mn-cs"/>
              </a:rPr>
              <a:t>BY</a:t>
            </a:r>
            <a:r>
              <a:rPr lang="en-US" sz="1400" b="0" i="0" u="none" strike="noStrike" baseline="0">
                <a:solidFill>
                  <a:sysClr val="windowText" lastClr="000000">
                    <a:lumMod val="65000"/>
                    <a:lumOff val="35000"/>
                  </a:sysClr>
                </a:solidFill>
                <a:latin typeface="Calibri" panose="020F0502020204030204"/>
              </a:rPr>
              <a:t> </a:t>
            </a:r>
            <a:r>
              <a:rPr lang="en-US" sz="1600" b="1" i="1" u="none" strike="noStrike" kern="1200" cap="none" baseline="0">
                <a:solidFill>
                  <a:srgbClr val="FF0000"/>
                </a:solidFill>
                <a:latin typeface="+mn-lt"/>
                <a:ea typeface="+mn-ea"/>
                <a:cs typeface="+mn-cs"/>
              </a:rPr>
              <a:t>STATE</a:t>
            </a:r>
          </a:p>
        </cx:rich>
      </cx:tx>
    </cx:title>
    <cx:plotArea>
      <cx:plotAreaRegion>
        <cx:series layoutId="regionMap" uniqueId="{F9BFCCAC-D59B-4CC3-9794-1E3FC9B42372}">
          <cx:tx>
            <cx:txData>
              <cx:f>_xlchart.v5.2</cx:f>
              <cx:v>Column2</cx:v>
            </cx:txData>
          </cx:tx>
          <cx:dataId val="0"/>
          <cx:layoutPr>
            <cx:geography cultureLanguage="en-US" cultureRegion="IN" attribution="Powered by Bing">
              <cx:geoCache provider="{E9337A44-BEBE-4D9F-B70C-5C5E7DAFC167}">
                <cx:binary>1H1Zc9y4luZfcfhhnoYq7Mudro5oZqYoed+qXK4XhmzLJLiTILj9+jnppULCTVlujDtirJeKMpPg
4Tn4zoYP4H98WP71obq+Gh4sddXYf31Yfn+Yj2P3r99+sx/y6/rKntXmw9Da9tN49qGtf2s/fTIf
rn/7OFzNpsl+Iwiz3z7kV8N4vTz8z/+A0bLr9kn74Wo0bfPSXQ/rq2vrqtF+59rJSw+uPtam2Rs7
DubDiH9/+F/Nx3y4evBiuPp4bfOHD66b0Yzrm7W7/v3hrd8+fPCbP+K/Pf1BBQKO7iPci/mZ5Jxj
pZH+8vfwQdU22dfLUp9pwRnmmn25Sr89+tlVDbf/uFifhbr6+HG4thbe7vN///3+W68Cl188fPCh
dc14VGQGOv394WXz0Vw9fGBsu/tyYdce3+Py2ecX/+22Cf7zP7x/AFV4/3LDSr7e7rv070ay9qr+
pqD/d9sQcUY5o0qDdU7YRpMzRSQHw9HTtrlPmjtM8uU23xKvfylLvLmurprsqoGZ8tOQIs8UQoKD
NXyIIKQV0/wrRODyl2d+gcgPiXLaFDdu9czxJvmlzLG/Ao/54H9d1d3/efDsKgN/e3E1XVfmm6Z+
AlbQGSaaMKzZbevQM4wQI1wS9PkPLt+0zhfJrpqPPyzXaVPdNY5nt7t+9gs5udhAvPumxJ9gOH4m
pFYcc/rFQPiW/RRcRloIpsm3Z36B1b1inLbT19s8s8Svfik4Ja64Gq7Gbwr5CUYgZ0ITgSX7ipLb
RpD4jGuJBIY84POf+PboL7b4AXlOW+OfGz17JI9+KXvs8vxqHI0Fx/YTUzOCz4gQx8By0iiKnCGG
IQFAHjJ+VJrTJrl9t2eX3Ztfyi5J+zPjPz+jghKqyclsTLIzxInQgpAvGOEeRr4vy2ljfH4BzwbJ
f/1SNthfV/nPjPPqTDBKNRLiVLiQ8gycFJMQT056qnulOW2Hr7d5ltg/+aUscXE1rD81Iyb6DGsF
GRdM9Zs1I5QtDBGGGOTLxz8vWvyAHKet8M+Nnh0ufq3o/QjypzKHlPObg/gJ8ZueCS4gAVZfS8Hb
JQokUVwwTIn46rq8JPiHJDptkxu3elZ5dPFLoePx1dBcjVflz4wY7ExiqD3YHVmVOMOQ+kLie7p+
/yGJTlvlxq2eVR7/WtHj8fVwVf1Mk6AzxrSSUgIEbvsshhQBkHwNK15Odb8cdxjiq/y+FX6tyPH0
6mO+/g80Hwk941RhaEB+jRT4tlHUGVFKC0q/BnOv+fjjYp02jn+/Z6Snv1bz8ekVxJUrm4/Dz8SL
PmNQfigKbcbPf56FwIUhpSn52vrSXtL7gzLdZZ4bL+Tb5tcKLs8/Gpv/RLMQdMYxRYyBXb783QKO
YmeMKGgdo69W88xyvzinLfLtPs8Yz3+t/OuFa4qr9z8v+aLoTIG6NTRPbllB8jNYOGGSfuvPQ1J2
s/V4vxynrfDtPs8KL+JfKt96dVVc2RHS4G9K+QlZsDjjinEBifAXZ+XZg4KdNFSO+ms48VDxQxKd
NsmNWz2rvPq1OllvrmpTQSv8o/t5ZsH4DGEBXXh1uyqR6owhiQji8tvDvq6Y/JAQpy1x8wU8U7yB
JcJfqM/+xzjCOslPX/CFRUVNKBSLYJATEV1BZBGCcvKtkvRyrh+W6rR5vNs9C/3xa2Vcn1/m6ieX
8hBNoFBH0PkVXyK7Bxp9BoChUOl/DfyeE/tBmb5jnW8v5Nvm8S+FnrfXdnwQX8MacPXNufyEAAMR
hHOBBDpZryh5pmGZkSLh9Vd+UJjTRrl1s2eUt/9/x/zT3vbmgvytX/w3qSuEAD2CKPkP/0HfTr/0
sV/PMNL8n2zgZvr1lUhytzSnzfH1tluC/w+zUu5mrPzD7NlD6+rwmRJ0g7Ty/aufXw/oSt6tX1PU
L2C59ZbfcHT5EWhDGOLCP0Sj4xC3Uttbuv3n99eQ8P3+UEtIi7GknFMmoP8lwGwzoPX3h0JBPxka
9wpBtakASFBsNu0w5r8/pPIMSQnkCwCfplD1AMJs646XxJkUiFFo6hAJ7RsNC8XfXu1FW61Z2/yj
h6///6Bx9YvWNKP9/SGM03351VHMiGAmGfQjjoVs9+HqFZC84Ef4f9t0SdvSaHGR473mz+0Eed0/
7//fGPf4vBvjamImYatFHkaeV3m8bev6Nidi+UJn+sJm+m8MD1a5OXwho3Kdl0Ye8qEfhlez2FD2
Jlu29tP3xYeW/Um1QEZ9c3xdb6VyZSoOmnC7vexwrVGc04LjGDFUk5jRfkzPv/+wu2wA5r/5MAu2
L+asEYfFUkVjhWg2xO0q1N/fHx/Sy5Mvg26PL3WPukKv4uBwx55iPLP69YwKJJ6samyWJJKbGOJ6
7btX33/gHS+kYKbffKFOoW6SxwdOlZbLozZ3qdsx63Jz+P4DjgOdmLXHBPvmA5TZZjQ6yg9zaeX8
SKw0JbuutCR/wsu8IE+xK125623frDJGFcP9OWryabj4/vPxUXWnBDiq+sb07mRtS25XfnBZNvU7
RVQiKf7UlbSfy7jP5qmO3SqjJ+2c4fLgSNuqJo4yRWpokQYATB1n7g0Jqmytp4rPoAJF+I4O7SfJ
Z3PP+91lQM8rtIDUWa0jP6yrlX+hdm3jdHLF8zDRPd9QqcIISwd+KKkx1whYqE+ayJRuFza85xva
aOZdn3N+qEY5/YnnnsVLuskwz6M8zzBUc9F1pOeHsY227YCWaBr2omtbGSi+5w3IkmG1VgV4g5a5
YrcKsbC47wFK+zD9eO6AFGvUtLaLkqZdpXhhoYU3/lmPY3SP77xj8kgP/VYhh+aFq2RrcX1YMxYN
8WJKO9yjoOMkPIE96YFftyWrHFnTpI3UVp/PA+6mQzWv2Ox7kzMd+BgP4pS1qZq7SCbj6Mh40Yi2
QYetwdVy6Mw4L2FQkx6O+3bqU7rUKulIub0phzV/3kih33zf1nfpygPyXC4Kz5B2JCRazKGyg6RP
Mra2/duSq3K5R1V3Wfz47zd8Ua6yrlSyU8lQsfUyqjf0XGd4qCCLD3B1kt4evk3NikA5InGyJ0uM
ioW9E1vbHcKG9xDtJtlKBbyLZKrAAmOV1QfmItkFSu/h2RnarNVaqITZqQQbrGqJYotWswU+wMNz
qSPe6wW0r3HdN5cd5s18GAq5zS+CFHRMXG+aV5KVWhwtItE2N39KZe2LxWT9eo/8x5l+As/Cw3Ot
p5kXLpNJXdk+fSXrund/0n7T6NEY5Vq+hFyXisuwd/FQLdcBODbQmUs6ykZzMW500XFe1jMKw7Pw
8LyYtRcjGWRS2qxjl7Ymk4oLx4b7YvNRLafU5UF6zYoM1TPMpz5du2FfZFTKF3W0TeJRNqZ1eVgy
sjZ/VbWif7smm5t7NHdXznMs9m9Og2rJUtluM/jdSlXdozyyqYTMvtSQ1qlxLtgYN2OxTTuTi64+
L5ctk3vBZtq+ntAoXKCCPW+wpiKSqozSpJaR21Mzy0TJit4zGfERlqfUS26/JZ/GxfSk1wlF29Ae
NpxO44Gn21ZddJrK9Xlm6/ZTF7G5vmCbavizhVLSPCVSqeIvVRLO7xHlDq8qPMehmoJ37WxY0snU
0p3Y9HW3LHMf5rSF5zaqgQq8LoVMhqibk2zErIozqrKPQUDjntNweBCqKDKWZN2i3nEIpc8siuow
n809n9HTrCmiSOqEV1DJ7BxW9RY7M6z2nll2B8qOrfqbk92afuVkGVQyrnNKLhUbBvR+6TAgLic5
auPGuK6OySa67ENXb5aEmYV7/oPOTQWTaBCJUGnt4q4nto5Xx6LAcME9/7GxreydGOTB9RwfxDpl
+0200T7M7J6TEKlGTdEvW2JdNiZbI4tYDF1xjw+6AxLcwz4stuTRAqEhKYipd2TExT5dWxI4qTzo
Q9XTKmzaLSFQN8Yox2+bjN2Xtd4luodmLLqGLVW2JZlcx6dubRDkAn2Oi8B548E5L9zY0WHdkiit
9SWZlnKfUsWSILMyD820m3g3ljD6mBK2m6m0sa2xCZOdeWhWDdnUJMGs0UjyXUndFItSsjA/yjwo
Fyga0JzaLemxqc6tbrLdxNl2/n3NHGFzIl4wD69NyvNtw9GczBG/hrKznM7ZWHZNMs5SBL6BB1k6
yakpynROKAD3lR7b4oBZW4aV48yD7NhAKjRvYk5aWGO+VJq7fbE2ge6GeZDFY12laitcktmKPTZV
LZ92SxUouodYCNRpWWI6Jn1bpHg3cGJ3Ml/KfP99494BWuaBlqeZLaMN2jxdY5ZH5ZiNT1yaVoGg
8iAL/dFowq4YzweXzfY1nZGqnvNBiTxs3lAPtSU2U59NZIGU0G27suPvVr0290z8O3RDPdDyIiqZ
Uul06Kscx9Q6Evdau0DRPdDSrmAkLdQEmo/eDQTyu0YvaZhZqYfZstuGKLLiq+iM9CTmkwgV3Ucr
V6lTOZ4OeoamMTmObsMVczTHjVq7RFOXVhZGXwqd75wqXSwEKQLV7qE1Z1y1wFyA0Rm57g2rzjOT
BXa2qIfWEvaiK5PB4HpzdVJJPUDlJZaw3OC4iHJTMctIZVqt5XTgYzrHC55IjLt0DAtR1MNqnXek
aSlyh2bamnjOzbUrNhymdeLh1G7D2LX57A51mbNYMP4umiwJHNzDKUr5QNc8Gg+yR83eLubKus0G
Du7BtLd6KSATdodC6DwWhaliNxAZOLqHU0mLKDORBtG1w08tLI+8SGVWhS1REQ+ni2OkYTBysmE4
CSHeGiX4PhojZcPmDPGgSvpF167LpmRldTPEEe140s1k/BAUnIiHVWxSMrRLDZE1tdUjXVi8t2Wx
HsJGJ7fh5Ia0o9nKXTJq+jcuyEvL6MuwoX2k2rWo1zUaE5NHz8A9vluJDOwVEg+n2pha4kaOSTHn
au9y/qYt0zbMoNjDaVPaaNDKuSQyo9lVhXwiSY/CJvtxt/1N/wXLwnNnFxUdmmr5aFb8lvAauCkB
DVTsoVSZOYsgXq8JDGvHeCM2F/FqaRbmerGH0ynjLi/ZMCbA3UF/sRH8QGzNhsMyDewB1fUVQVXa
uqRuh23fLvJ9bro0UO0eSFNlejmZwSV8HdZdXXcgennfyutxkBPFwZE8cNOmuhHMdFE9JrDar58q
m+GnVZR2b8PM6kGUjGQc4BwVmI55mse0nv+SygSa1MPoxlpdpHnpkoFPNMZqeVf16kWY3B5G2cyW
2VAYOyrsG+bWp5zZp0FDIw+h7Zym2Uiz8YDSKNpFRfrEbCiwP4A8hGLcdXKLSHSAnfvP61W+U8Na
hbkW5EE0yiFPH1rQSZU3L9usPU/rPMyTH7cl3pyErJtXukAD/9Bu08Uwk8eMh0VQ5AGzW/ko2g5q
O1FnT1S7JM2Qhi2zIg+WphqX3DkQuqv/2Ca3K+SfYTPEg2Sli6HbSjAiy8v3w6Jfqk2E+anj/vSb
inb9VC7rLMZktQV+s60jSQpH7T5McA+RtEmXpjB6TGwEVALSlBc61X+Fje0hsqyM5bClLzpwA9lt
hMQV0zQssAET/bZaYGL3fYUgJOdGLDG3LNprLacg4MAet9ujKzvJkfEpOvTi9dDuFXSxQ3TCtIfI
PMt71ufrmDgFZI6Z2i7GvXgTNriHyRnWu9a1Se0B593FXMHafk+LMWimwDkKt1UyOIfKqILBVcVf
UNd9MGwdArXi4RL2RK+oV9oehpq+4DD24qbQsT1o4tlIShcMbWNC0ROnsuJRzxYRqBUPnbllUwX5
LEwUvol4Q8UflciDEiymPWwu2rG51ID8ha5jsUMsFe2eQAZkglwL0x5Au7lmKazVjEnGuqtont7C
4sMfQVPRJ2tNlKJBUNCLcxnf9640MYXzt4LyCGgIeXMxnyT0oxcQfFleuBY9WqY+EKHKQ2hRS8Rk
Tm2iSvq0AsLhATbAkjCN+/wqlw3AuXTTmKCuesmialcMeVCSwpSPTx41a0ZrmxDCyW6u8bDDrPgU
Zk4PoCusKFhVjxbYDOJdZpdHRvLXYUN7+FyGMS0ViYZkxdUcV63sz5u6CKNhMJ9Y1fK50RNwhRJY
Qtr2zdY+k9TexzE4vv2/J+JMeQB1HbFljuchaYFrU8XWDdHjaELrqzDNePCcIwpekTmw6LR+tJDB
LVa9DxraZ1ONEHjyTrQ2KUX2aum6S1TXYfPQJ1JNqSpFUbEh2aY+P0xzRvZR1XwIk9sDp9lYaoel
tInOu13J1me1ui/tPOLkhDF9ytQcQT946uSQ5PXEXTxIUTztRbfEc0HcuguT3wMpL5ulKVs+JJWh
f1c5ext15ZuwoT2ILsB4rIRMB8D/ZC8mO+AYTyxsqQ62Yd72uBnJuRkoAcEZfltPUROzqPszTHI/
hi59Vw4otwknhs2HjbqVxY2q8nIf9gAPpyzPMuVUBVNyiV6amrwxfVgtzqSH0crwHgpmGDpd9csR
mecpFUHLUMwnSFVqTet+WoeEpjVJIkXGlzibTRDTl/n8KCInxCcDMzFF2xqvQ59QFshOY8KDab2k
0bjYfEiaqUMxmuR5P2dh3WHY9XB7Ko4Dc45pUDm4x8fTSh5XfAnDkPDgqeesckWfDYlMsyaW2/pY
DyZs3Yz5TCcNswQtpBwS3E4vKO6fDGgMlNtD52BgdULMUZ9Yod4aPLysyj6oiGPCA2e6sLrMumJI
BGgm1kBCj/u1VmH+0GcjjbToo6LVPazb5P1uIOVLF+k/glDvU5EQgjqr4ahPMkPrIp6hUXFwKBJh
ivGpSEWhgZVWrIAbvdY75YR4VRm0hVnUpyJNBRcpcO36ZNMD2WHLnkEkDVs9Zz4NyUWNavnSwnRp
NUMl+Nq1tHms9FQG9XBghf82RoELjHS2NKD7LJ/lroHmWZKmrA9bR2A+3WgtnVNDnXaJimzZ76a5
qz85LefAopGz2/LjmiA266hLhny1+zoTRQwa4udBM9MnHEm5LApNqEtcJcgOCSCxw7nFgf6Re4gd
K2DgWdp0iWUyG2O8kfKqXJcmi8Ok96LpYgYxzAvops2LNjZj/cdS4bCYx/1wStq5jqQDvTequ1gt
sudz1eYXQZL7fKOJTnTtqrlLipRvb1GbZhdw+F1XhinGJxxR8JOcrGBW3aS9PZdOURbztBV94AO8
sAqLcWXbdBNontr5chjUH3lfhfXmmU85kmVNgGM8dIlk42uT2ZdzOb4O07sXVrN0nWlVZX0iG/13
0844zuEwlkCleFDtoWWuIld3CR0K9beERYULV9ZT4JTxIuuIomXdKG8TQKqOBVBf4miN5CFMMeS2
mxnWCNboKxidT6uLOe4elc19LKbPKeiJgsanGfVmAXqdIm0yiTJLY1gtLsDZSLOUu6zWWXlRd+v8
2tW2uqSWRiIZ87znb2CLm+xfQP/PDq+1rMVFCeuS7UVRNkzEsjLQjM+WXqE53ljRD3/MPYncDq19
U161eR71OwGJJdljDr32g+zc4vYVhi7ZTsAq9XLp+kgVCZFLzi7TtpjXHUbQTfgrAmbveo5pYeWe
ygXGnCszbudZr3MLu+3I5s5rQpZtb6eaNn8vkrH0xchEVLy3mPd9ojaip2RY4H333bjxQ4EmrnaN
JLjciVVm7iLDbaafCNXAvjDUb+Q1nEQzxxMRw2Vn7LAlqNVqPZ/ramL7aWAZP0xyZtDCrvKJ7bKq
q1vIZ7Ved2owVMZ1awb8eG7SQl9WFI8s2UDb847Tcrrctqh+NjQTYnuGpmmLi3RIt9cVLloZloUw
z2HWC3OidLRNBM9b6PpEMcmoDoOWz/SiLF0hkay6JBf1dcrK16k0YXL7PK8JVmKWioDc3KWJ1dWj
lOOw5iD1vCSfgJmCoYOUwNGyS5xGuox1hdtAnXiZzYAyKkpYtEsyUhTxUvafRDGEJX3U85MFbG+d
GonaxK2uewa7wcxFS8c6zJVRz1HmwiDXEGGTbCjZEwb5KzD/3fguyJVRz1EOdTZNUze1Saky9+eg
+g2a+Y0aA9Xuecq+MSNsE9FtoqGpHHNSPMm3LGynGfNJXgggzJnq2mRtu7Tet2gukqVHJrDK8Wle
uDF4iyjMSJHVfDkQ27gtlhEv+32Q8n2q11j3cxrlY5vAQtWnuWOPeGTDdnTA0Vy3Y1Tn5mHqV9km
OdLAIxutXKod1QX5FCa7B9eJ9xudHOmSqtebimXbU1hjV4SEcTEY8RA7d02F0ZJBggDfn4mdnIuD
MSYwQfD5Xp2c02LLIITDGs2wA0aZ2HXRjJIw5XiYnRFsleamaWFXbVU9EnTiYyz6QYTx+5nP9rJF
kwGRqQU33Dj5KG8o+htq2jWsFUw80Mql7rfaQr4KrazlMmWpSyQaZeCk9+oQQiunzTE6FabOdnbu
s9iNdR3mcHzKFx7w4haok5Nobeh1Dmzz6612dRjzEz60cRtVnNCmyIuyS7iQU3RZ6gbvUDrP/J61
wzv21TGf+AV7W9NUVKpJtgrT4U1XmqndpbIh3X62bfQGNpw9iyJdFXvI4kq9yzQUo+d5xHkbZn2f
HwabggVyBeSf89rnahfVBRxAUedNV4WV0T5BTCC6Qc1y9EzpiNPHtclg39naryMK6075FLENuQG2
15ImgTNVTRkvczGzuCjZFJhgYQ/ewm710BB4wOoI0JY39xbY+x+CXIfPEqvGeh2125qkGxq7WzL6
aRt5qOAesrN+w9aWsk4gtz2vSPmIEBvWAvi8hfIGFb2OIpTNcIJIMrLJ7sqIwVLDvL0KU4qXLo95
NWR4npokdYM6uJxkcc1NYKj0eWKzhG9uNWDRxAxL9L4uZvphiCDcBMnuE8VswZqWNbhOINd6Jqft
cdVn95zlcpxvJ0pFnyeWLbDOKIa2SexC8ke4GlQM3w+bw4KYTxWbS2HUVNI6oaVqs7hQqn+US9fk
YTD1CWNMLy0VDaoTyZti12t1UTK8hsUBnzI2dE2Wpdo0iWb5/MQONdvJsZheft+mx8z+lOK9rFnP
5TrNGOJ7tbEeUn5kM32oEG7bg4CqrgnLsXwOmVpFqgTN2gQ5OnZxzsfiCC2k27BYjLxYXEfG9pM2
MDc5ee1G9CrDaeC09yALJ1mMCg0gO3TX+N4M0MrfHG6CzAtHx9+Oww1MxqgEVuAByyF9Na1R97rJ
edhuJjhV6/bolWmwQ8RWRx+sXnY15clouApSOvW5ZB10F1BaNxUshkNXou3Vy4hlJlAxXtbs1rFZ
3WoqYAjAEU472HzYv9sq3U6B43u1LhxIk6bdOFTJNsj30Dt6Wsv87fdBddqb0ePpZjcZk2xCsFoN
OwRh02qbFnFv3XQ90z7s6A04j/j28AbKtyZPj2rvVAoNR6sua8Fd0HSH7+PcHr0lhVu2AYRPsxza
Tph0MRypEhahqE8p02KTK7fQf8PziNd9Y4CPsCuappiCmi9w6sVt8dU0px1ktlWCc7HuVYbQixb2
870KsqzPKluFgQ7X3Ef7DGdL+6hAGD0jpOPuHuk/d1r+3R9Tn1gGH8shixAOpo5wvH7eY9y4C1NO
/XAOhZgj53CWnrD7nldL+yRaoSp40smir98RTNm5E2S7lCxaeay31MHpCmtUls/rhi9kV/f9anZb
lqfb+zZdjTtvOoi5O8eL5QOtGXs8dcX4aDX5dE5TN8MQcAZGHqPasO1NjmF/y8vyeE7Fm8aozu6h
YGMbXB3mXY6A+fms6PJo28OvrXlKSdpOQYkk9QlxwGvsyXFD8iFLcfFs0qV+QgzJwgIs9SlxbVTy
FrqjZUIWdC1I/1Lj7EXYdPF8DNSaax2JuUzoBjzbirBL0tr7DtI4OsJTU8XzMs5FdbbZpUz6Ds7q
uBzsVs17vQLrYT9DhZBdwtetqvxd2Jt4Pgf3Gj5JM/EyibpIHFg5V+dbV2V/hI3u+Zx8TR3UiLRM
ppbl+yjd3o4FuU9PR2Wf0pOXGmCUGVcOrkxE5cxrYFWz5yrPlqulwNE9nc27HuE5HZRqmZGuLw92
oaXY52M/9CaeBmi2X5oZdrTdU1TfYXKfNQf0hMxNosoO8MHfsjx3fMHADouqg6k3RXbA6A7rKlGf
RJfl0DtJhwqU1pAIiG7iLTiiwAAmvY5bBAeOQCOgKRMMy3Ejnc9Hiu9x0HdYwifRSQpczg324O7L
rJfjpa4sP2+VhnV/kU0VCmIXUHl8+o0SkcPYwhgZwTEdcJAg7HXP/tK9DNvaSo/ftrk5ul11b8w6
FImUfDwHzrWK0xyHFSvUJ9JNBlqR1OE8MUyx825a673SJqiOo9IDMhIdripZpXs8mUcopTFrRaDO
PRivFFW2HWHobWOHVPfntSFB9SH1OXQrnLpmrC7TfWnIY8mjx70I6+JRn0MHtMLjQbgm3XfF3D8q
rB2TiNPXQW7Tp9ClXObTSiOY7Dizh64bWLzqip2Hje6hFOlySDmKTCKN7R4D6/Vtn61hh8NSn0OX
CZlFE3EmqVZSnTs9Nheor8KoqNSn0UXrAusp9WASUxT9vsvVk0gO9hCmFw+eS4F6Z2mr92PNzHJO
yPxHN5RlWFMRzry+jf681WNfsUbvm6l/VlZtUgxtWBD3qXRrvixZnUEiVY3OxI1r0G6r+D2e9/j6
J8Ksz6SbgJ2/wQ4/AJGd2hhYY7tOwInCYTr3AuwGh/TYaewM7Fqq112TdW0fp0OjwwhpcCD1baXr
eoU9FyXXsNGq3UisqnR43C6lCdsHSX02nRNN2sie6n09b7Bm+xJYAPdo5nOr9oTefS4dExuGw6my
PMFrRKfHyNQcNhhlcHDoGzgpqU0M1xuNZT/V/CCguzbv+rHkExzH2Yn1vHca9Yetwxm5qiUnU5Iq
amRQBx4+U3FbrUvUYzh3YzyWS8OYXRqKlDvktrTNPmhe+DS8xphRKJzL/TLkAhzUWrhml8PnMmhY
7eHz8IaxdNuUdu7g2rw71IrN+06zoE4z9Wl4kLJx2tHaHfDx3K+Z97BTm8kgfjUcrX9b952cmE1H
GHxycHZzZVkftxUJ4/hR7kVjljvYDe8adyAF7na0xEUMHYn3YVb10N6WCj7YQNPxMJG8jlUUwQau
haGwuOaT8DLgmiIW0fHQArMmbsshe1ZJOv4ZJLvPwWNz11Es+vEQaVj1YOWWHczKwxTjn/llhhm3
sBA7HuCMSvKiqZfyvUCbDEuDfALexvO5H91kD00jqh2cXA0nwrA07NQTevzK7M2sttIj3aji9mDk
MpzzdITzxaMybI2d+qd90ZnQrSpHe6BznQPjanwD26uXe3zsHaHNP+zLzT0cmSVXe1gl3uISlcNO
loG5yvGrYzf1wksnItqD1rcajmuZx/UTGvKwvYTw+Yzbg0dbV/dpRd0hg90zez3n+Q78cdjiPXwl
+PboG2yDSM0EiZXsyHv7fzn7si45cTbNv1Knrptv2LTN6eoLICIjcnfaTi83HC9ZgEAgJIEQv36e
qP6me5zzVVUfn6obO50EAdKrd3kWlb1Vbfpz9Gp4qv547VahpTzpfDl0sYmLTaf1oa4Bo/vrXfon
ZeJr9NeQ9HPaTxk/0nog62O7qE4dA00Hc8yNxin41x/zJwvnNRKsXrM6TyS+BIxPompNSVOO2/Jz
SLDstd6XbmvmHMXVm2bsKg4YWCmm8P3nbv3Vdu0lwgHwjOagNx3KTs2ysqr+uYPvNRJM6Dx2ihBz
WPtlPaqWpwUEjPefO/leI8GCQrmxG28Ort2HY2L793siyU++0lfbdW9Vvk/o9Rw0b1mphk2WgKT+
HOwfU/0fV/3IAnOM1/oQqciUctdjkenwc8pNYED/ePU6zweTSKoPnZvbcidqKDlk8n8uF3uNAVuS
gJazafhRynF/t8d6e5bx+He69X+ylV6jwOrM+2QBWPlATAI+yiXh0Gnydz3CP7v6q1oXDjdoVwch
jnmE1vkafZuG8d1PbaTX6K8+SZMa/hnsCJ2veijWHehE1272489d/tU+TYYpm/bYiCPRagQAV260
vaXJMPKf26uv5b605QuyeC2OwiaFFOn1EP9kJvYa/AUhrtmFFJdWOY6/Cx5i/DlAYvYa+QUziK5u
2SyO+0X6qPdJXuYt9z+XEKSvtqmMh9btYcorqHCdRqMfY/pzaoKwjvtxj8YEoKJMqbyigD/IMbrN
x+7NTy2V/w/yBRmh1mRjXqV0UclVrgfwrluvlvc/d/1Xw+ZRJ7Mclokd8ynZIKGe2/z6QtX7Oz3B
y2b8F5XuazxXF/U6576mR6Uje3L1uqp7y+KmOYCnyupzo3bf3rm9/h8U13+Uqv/qQ1+VsCyk9bjK
eUDZuvlxK5OhG1J96HvsuuHY1ls/FPOkYFdTjNmMs32TwYzsPA2atuqIwlr2qhj2fg3ntg5R/SXL
PGB3YwxIa19kMuzeF0hy9Hzb04Tru9XWPqHnLcrZ3BdmH5qoK+JMdFlTGMc0EqGJ4tUVRMxT80Wb
Vi1JkfesU+ds7yH3XAUU9Kypwrx6U/Yhk9tbSMj5tStID4sfyHyHbrNjkYglonkhAqTh+1Oiewrp
e4WepVMFeAXDghu0bBrf61ShkJFM8t+VVvhrs8z5WlHAfbNiwRPqy3X1aXe1h2WjBjlyZscvE5q2
bCk2k8SJLwinTftp7PJefFPNAqMfEDn3yagCal8yfLyA9E56V2ErRohG2dL7ziZ9xUCcrA87Rjbp
IUrrzZY1x0oT5Up9IKpK153ENwlfqTh2ZNkVeGHzFE5wCRhLRvVK72S8dLyKu8xnZcvojCyMK15x
BQHcYpsbOo/Ab8qpbSonUO+zEh2SrZlwZ/NoWAGreQbeyNpd1TlD2ohYQtVyjbc1tV1hODK7QiTR
oKpFjenn2Sla+bBv7NvS7SE7ajOR/n43KafP7Zwydp+5Ostu97rlS1MNOzgq+VH4JYEiwk7ZMtyB
ocHxvnTXadxcE++iWY4xVI2Rjal42vtToNnmv85cdVNTTiuawWcGBpJ4l2xss6EcxhxOYg2PLjKQ
wzKMPgKLZQdoCwo6bFmXQ8C7nKZzStBIS8+0H3lb9LQXR9q3YznRzSuDbkqI7HrJLFd7Ey+2P3iD
GHVPp2aR77YtbUaO5TCly1FmxG7l1LR5CpXYNgwV6pqWf+IuG6cbse0o/FoSL5spvHZo5heCE5Yi
g3Iuy7JSkCyTb5KeG3qEwEq/3YypT9DVjh201XaMmd3agLsVB0sdkJwUImvxsHxNhwicGbOyXL9l
RCW8amtL5FfUPnzAplH5tFZWksne90vc0HeAZ83qKAMDTUhM8USudxKl/W3S+n7/3o3DtIAxY6Ip
v5+xadvDqNuQnrVK5PyhjRSPU4S3vqGkYCoX+j52rk++5rKueSjqRqjmyvt1Jdex6fLpo/Q0kBKa
9zHY6I3PEgFpZ0KHb7XzTd8U/dzzrySjs/4Advnelpgu4ewCz2MKd0D1WY5fnqL82yTNup9VqkN4
1+9xkpS6xU76JnMs81PTp/u9E3FzjNOZywduFkYPMe90+zT37bY/ehA80giTaOgG8OqiREzP1rtx
/L3H5Ka9kXTOwtU0yaG+mlORmJtlhklmKfMsTz9xCuf474nv63tQyKNrjJH2b6C2qEJ60lQNBIKi
aut27q/hIbHuJ4gHZR8H0eWi0gOYjm9YaIfxPmnqLjn7qVvCIZpbuZ1EMDG9YnTr4w8xrfv6qZ1F
o0sdXARNRBkLCxKNojDyW3dLzJ2NdxefM0318B7GHfX0sBDB2mPc9hOr3CZXxE5PuGmPwE8n5m4W
K/02QBNgLGu0DP1Du8UGoaSdNn+gZHKmqWJMq9abXkLg+Fg3iwa9JmJr867lVuRnpbWmhasjQ7+2
rZC6bEbbO1nwMaljGB3l2Xa2g7Kucj6No8rZMU2Kcdi9/pQ5gTuoSNwkkDPccBdd1FhTyC2y42G8
SPIUELTb+/vZg5h2INr4z2kcPIW9WgOryBJWEPQO6VLzUmMLs1IObapKqjyZPoQZ/owQOFIKkmdF
1u97d/YOLNl3Af50pi7a2bEN8X7XfpoK6XBM+wId79V+88uakWdYcBgcCD3UasTTgKtcXqR2iznA
xBGTzsPoU0UKcD9HcjXAkrs/rGuTDaFoEsf3G7/ZBl2LDTZW4hTXATkimGxte7ZwWYuK3XRd9JaS
3qRVm9Mlqmy8JqJiYd/ls4n3TJ5Wt3txtagpqqvZp3W4zWCW8xgnVnZv0TlKQ190w+DEEarxjbsW
PSqY+4CWGD/mfYfzztU1mYHzztvtVjWx7MtpN4krc21YBN6CsXXnwZ7bbfLk4l6BjDHmzj12W8zS
04SRsbyfoHTXzcUachjoQFe8mL0RyTnJhHUPxM7R+CXtNj7c0iGzWGNjq4b2ezbwHStBQbLNHqaG
d+sR32yTB6L63L6n/drW17bpZHYGiZYOd4tJYfB1QDgaaAVfpqx+2SGVDE1z20pyslPXNMA2g4GF
NcKho3TdShf0SUuVATOcAkMcH6yG62GxujCmb/GZ/HlNWrd9HiAaD066SNspL2fILzZlhPhUl1ut
t7cypS47caHBdSHjCLCqWg2PyqAXB0s5M/kNBJKVJSUGCrx9xO0S8rD50HSnaExzTI66uo+Wd0rt
03gN6G67Iysa9+0bTg079tBIjePkzWVSk8Vl1s5sv9tjkSuLSLyH+swlXj2EZinczW49AvL8APcL
a86xa4U7bY4Kcjm5txaaAA0eo7WFE9jlMfTqmn1pyrnzIbzJxDaIAq5pnB5ZrhDfij7z0jzELuHz
l91YncticOtGziHP4u0+x+pvP0q7wYIGXzKb6oce7TD/xHs8xOs9lWarxmwh7oTzP9INHm6q1oPf
GfMNkic37XiZplmPq+8j9Z4lwanHFc9svZ4lYKEPcu3arsxlO9mPm2Yp+aRSFrgqoBAWjxpPKhua
7yM0U+NHqNbn4ssE5ZX+8zzMfYr6CoKIWalkKtlJMWcD8rc25nQq5mgJOAqHDccHsj1IxtKIrKyy
EGmYAjB6LPoKVfmQlzEOdXnel7l/xxas70Mf+4GW3baj56rYmH8gKXARZRZ4LUvUojmDI+LElqt0
YISuRbbFar7X7dyCcpxAvvOohRymu0xpHw0FBQPri5xmtx1J0uXrQzLGBvq7mLOKdzkffXtcBzjl
PM5pm33kFi4vlc1rtAJ4Fzl6H0Zds2NspE8fMH/KxqehZ3a/SeQ4TwiYOfYGYPEAqvGrHiKq5q5W
g9BbyfO8eQxAvkTlRju1PtndzyBEg/ea+hIyhnVfMpF0+qG36DEVrWqG+ZAF8GqHIyhqyYHX2ThW
Jq5TvImuHZK7fNEXJ1dqL8kPB7SybUrBV5JWapnjZCn6fQsfJB+gmlTsCqzFdxrktuy5sXS6NeOC
jKtsGxmViYQqXCgR3deCeZq5D+kC2YNTQ73Gec+2GGl6BgKvdkXI8sidO9xC/GaZRsfKlNC56kO7
jFf9hq3+icTGr8eU9UMCZxIDybMk7zJeZQPgwYXNkv0ocBh5VxhSS3u/ADolxlJRxYbb3tbhgYeL
Aepu9uzGct7HBw4Hmw3HKFKOyuw5wr4f1qg593Qk7t0y1Mn6NJolKTEjmdPPYaj9Wta+zU9I1+Ca
2YNFM6HTXphNtqfWaQhr5OBV47DNyn13QhcTzJBo5UycnhrkAx+8YtlNAyklVVAhZ1u2SUobaLbq
tJimXNJr7pvwPQf7R96l2Drqapd2F3dzlJrH2EPiFSVQ5m4bytMduVOSm8c10oDtuo2VFDTyO8xz
QNaGeWkGNXLQkO+C4en7yUfNoU8l7QulNnez9oN4aDwU9Ksey7gk2+LLtK27U57n4nahTbhukm34
HJpVvhXZYMoupm8GYtR7IsUoiibWFrCTZej7udjiTnhbNMh2wzHAqi6c6Jo2zzTZ9LWTgYsKy5mW
al/27TgaSa4D4Iv5ex9x9rYZPFALVepGFp1qxVY/FDVWLgdNPrTx987Vwb2HeTkNxdqpjQPKmaw+
VN1FD+A8hG2HbAo3SdBw1p1nm6KO6bJJVg1dk+h6TXKwsUEr9fG1aZNa3Ntos+64gucfP+90SGkp
Qr66myXXpPmMzFXNB+LSKD3pTnf5rdzWAWavzbgOhU+04c/ZMuj4Yc6WTB8g0xBGSBJY2p6naBXD
p6iFl7AsSehIV8VWtq5YSIdUVLiFdaUZkKP4os6iLBuKQMLSfds4yebbdZvW/StMqTzSodbBsX3E
tJJORBcShCF5gIpOnV4ZPnTyzZag9j9MY56po2OIOxUqmoad5wv87jAzlWYPINVIcgP8bJZUidiI
OCegTW2/dwBjq4fFOq7jMohmba/tbGH/XkBQhGM8ust0CG9QGrMUVTAgm/uNtYNFXGhH5pM7rbAl
3/YoVv2nnvTinE8YkWVWefYpsVkffVYYsKJM3iYCx0U0odsSqwPJUlEvK6K7NctWraox/AMFp989
c4/Y/tHaWaSyImyOcF7VI4nWt9TvcmuKKE1ZVjhXG1WKOhvSe7vzLfyeg+4/fDcd2GwHLmFb+BSG
dhMQHCCTeYTHM+m3w7hC3fVKdFE6PVLsMkTEODMzR3hqN4ZmYTuC1nySWdz6U9a3fayqfDdIAYqB
UtpABn5C/YGMT85lWPUlF4GNi/NvpDOm8Veib3rzPNhoWo+TjJw4WysWgje2C2+qOR229XMvCLhI
tO2F/ex8P69H3cQqKkW/JDfd3NS0nDEId7dByrzBK2EdyIAWXfbS6HVGUjpTyMk8LztUckGQnuvb
qUnnK19v/GnO0uCQHZB91w9hGIbCwBu0ACmsWTL4i3E5HYPnJJQN7FSX855ZFGitWFhhnZ8iXbjF
efuGJZ61v6+wNuGHvY/jtqL+cq4WjYXHxKlGmn3bQZoLqy5LVHZdS/iz3ugmTB8Ex0OoMufyZCji
DpCHZzvsMkKWGuLoatuxrq+QByTs2uEIkF+8z7orlACJ+DRB4py1JRFN3D3plbQtJKETRbulwCIj
WckRVQOquQjEuZ21SXfPpY/30mDDv+8Tog5D3dERW61erqcYHYw79Csy8sjHjfbXfjXiKzoxH5F6
uJTCUoUCAj7BIyZ9GtOm/gw9C9lVjUJQ7KTp75yLkZntEBjx54HxttR7gOEIaB3xqWMmG+5ml9nh
ztSLvVm0nuQXGES7l2jura22JcJrzDf23C/5ZbjTc5ztW+6fKXIJVzX7jFwduCa3FYNn6giysqCF
1L5BboBR5QqzO76hX4tIaNHfcfLeg2UCB0Z+6fSA+G2eeyRjRUqAQD+jlS7sbTbzOXrMGEB8AAWx
sVnPK20aN+ClLCG2YHTXsjtsccYlO0hOuzfNDG/4QwL2yvz7tqb9WkYtOlefodUAN1xDuM0PY5uG
FEuzS9+aDvXIVRilLVKJAKqLdTFwsWvSpf3GibLpc+aXdi2DsgmqHZYP61bIlQ/Rp65L6q/8kpqc
+AaW+ftA9YvrB5cj3RVzgmRW5f1yEvAE4aWgRr1MBFu24LDsKGELEueHQeT8j+Zfn+14CIEfoG9Z
5yhlYKp+3FLm2UfdRAL8407U6AxGQkEZyWpIFFRISpS/JnSavg3DliWIc3krx2cotQlZpqb12Um6
PHxH6dzsN2ZI6xfVDrsg8P8Oa3qrWp/P76M6puQlgWUG+Y7SskVnRDbkVkymR+yI21CmTTL7RyNq
psHrwGwpb2gTP3YRpehmI/WIb4iHoOhRrIam1eb2ODusdLVrMahlewtN5CT/oI1Y30RRbj/wmiXv
gf1w+9VUgwR0iiYUxtugtvVAcw5B312u+gOeeX8zJj1gbVTCgBsaJ/l0nloh5pLoUflCR3X/EUzd
rZgJyFta557emE1Hj4z67Y6KveXHqYb0wmEgYbuaYStxleghPufwZEbMGzP73IqGhAfdTGAPryv0
fgoyL7V76xdIvH6GgAiKMxt83n5EazhjBV0DnkPqpURYEFmSTcg4GPjHPHbv240iSczQSmgaZBmS
RJCHZXtUGcDgyYHwBn0TD3t1+JQws3dXqY71M+TXZf+U8gkk8A0ODE8dbqTIujXRS4mwHZwvDHpj
2YPuW5aXmcbtvJ+m2k9HOdeyLdOcaf/1gnU9T+Og1M3G2D7gM/rIPvVJ7oeHrGEeCVvosiPnOppO
gFAy/wat6PGAMDGOR0OItFXarkMCuByMYQ+TjxFEoI9xjXeBdkStyaRRbnuAltcQ3JONWrmWI1mS
4TqKVrVfQX5s/x4R2CYVA6whb5p92rB9ao7H0fv40It8KefZ+etsSpBwtt14E3RLnoBensEQgL4j
+hwQashyVn+MdsDJjxwMmfAefaZtxUFk4+S746ZJGTxw+h3tATssejyPmFB0n9t9tqrEmwLhnfct
MnNEzGFVZTvXGvrlEC8Sd5BI46wUnurlvE35zK8YPMBhjVqvlHdFRCB7ePQiu2zCSK5NA3fFGRUT
gk9fyd0Kf3YgZYginTY3YBtj3vWy4Oysz9q4uKlWKGrHQGKqNE+epxwZWrV6YdqS5SsF18fR0D93
FDI1VQy9+e7jgIZGXqhxadv38bYjejRRRJNryhJFSiXSIa0mdMPWchpXtLYKkKC2ppIgF8YPuZ4N
fwNDkG4tAlSg9WEJNZmKkO45MhihE/ctMnBVKAioHuINvGxWdtUG7dk3ii/lP1gkqPSW2GRgZT6w
Pn0cGh9DNFmjKGg7q9RTAIG/P6bSxioUBGT7FQ3MdtwbFOoOLQcs6g1JITza6xnG2sLWd+0Ud/s5
yeNtvBMafdqC6sxDL1235iUmWdfep3s9ApdUx/14WvgapY/gTTKKPWWy3WP+MwZ9hH+jN0cg3bQq
MVUhy9fRKxvBIHF3/BwNaKd8jAd1eUMUhU+VGKElyKgowNT9gv5hX4Jf4exSQIslSW9imhIUl8RF
46kDzmL96tMgbFVTWrsrj3jtK0O07g9DlvG5SuFI4/piNiq0R1SDg7ipc8ivAXw5XOzB4JY2VbLt
xHZdu5jxEjyRRpAKSgwxNlRXK8yzMQqdmmu6btmOnMXp/IQmwYRp/YzcrkAfNukLEEZ3Wc1YBsMx
35ZkfmEd6YcItUOSuwx+txAx+V33agCfq8eEzOEwVcgT8zIajLiiqU7Ddu4TnvFnaEYrd+tR2m8a
X7zLZY4cZMumB8K6YfsQ4duIqGgTl03L8aJmjYJ05fua3y+XCvqmjqZ+Q/IFvCwEpkLdNA9BJRbF
ilkyig2e9+hZsRKzFoJqNbZKjN+6gOoa2L7AVPxi3BrNSAYYQcE0OXAbV7jVTObaimnhDwTBo0Gq
yOX+vW8xjfgspZ/6Y97kY+TxdHU2wouZmu5NjnQfezkVLCdHjdRofml1TjwvXCKg1uxZvvB3Cfpz
Hexf0P93X4XJl/5ZR8sUPU4NBj5v1kuhCsWCwIe0ZOsMXWPQ5rQZzq3C3AuLJNfZ0TAUPvQAH8Vl
vgEDsCG+3DFDmlDpdoZ1rIoJdfzGa0ySbpFdc3qLtCi3b8dB9uaaNZmfztECY/bPWRzXcUkvOdtx
mVS0FANLfXQ7xVCnehMtdukQ4yBDXwpkxuMhLIqb+846EF0Uidn6bh8AaSx5bDHk6bJhhMSMaSL3
jVOr63eZtwj+I/wN5LpfRzvsu5GyQtdwOHvdZAH5FCyuy4RtbjmFaRTZyaDL7q+Gnu7xM7qKhFx3
PSaBpY4VAAAH8IljwyuszR29rUtHLTrOJk2XMqNKRgX23B3VNuSYNRLIYxzjBNDq+dhFCeY9dMSI
JxQDLNZ4EeZNk8q0jOQnty1iP+l8i+IRkm6pXwR6eg280qZFJPKWJMbaZ2Khqv7CmnxRt0hsO3Yc
SLuIt95jNFMNDZcN2IkApD124zjQm7oZxv6t53gwNyHlvb2OF1jq3K241xSO5mEnj3JhqrnepBH9
exR6Xb2W8YJsea7kxBXa1jk02rq4XLCZdVRC+4MGXWEOyLg49oADXiSM2ScoGMY2KYWAAKY6KIyC
7HJGAmbwYB2T2jzinB7ReAYYB6M05G4ivM3w2EGuEqTt9/eYntTbccVOPop9Z7cooml0k0a1QGJH
Y6jXpZcxHk+vYkmpvuolm8ntPkxgXidpmNwn3y0CohX9AumQo2v0Ftoi8ZQwzDhTgK7i2fK1pGhs
2M9qhWT94wTZBZseL1KvCXoaG4G5Oze7WGUplPd9FZS5OMo5S++JqfPxnIPJ60/zqJesatagx9vU
QqcGLdIY89YpGLYcOzTxkyKySRIdMaN0XTXwRqDs1LPVyJAy1WVfNgYX+Zt6b+T2BEmG3KH33tZm
/56NJGu+6n6Kh3Ocgep4jtH1ne+gGmDcuwGS1MhtRpJvt0ke2fB7mInUtyE0kUWDb0t5uQukIwX6
ywtmK521APvNLr9bYmV96QKMQ88GtyCrZU/TvgQ2nmJmnucXeO3KjwLI5vthhTPw+9j3jb0zbk/G
awbbu/3ytlkNroNwAc7wluXyK9p8UVZJwiNtIdaKeqa0I1a7OiCz7nFAIpBeynxvtH8QkVmzMkRR
YrBZ+GxAl9Dk8gSFRrsKmYQh4sGydYggN9Cx7vtyOR+/swXyCeCSk+Y8TyIkRYx4N7zNjEkd9l5D
1OwKzS1Y1WgxwSiKtXEXV1lKIsBrsmau79OWOX9EGIUW4jqM3fri5Ka322lninww20JzFC+zXK5D
YPv2gTOl14eLhmN2smqpCwWxm7lANtpcmuV6W3HmYoD5yEMQ7Nq2YBrcY1CiQHhHbryjtTX36FoR
GFfmxH0BcXXmBYhFqT9sVPfo2pm5fQJMIkFGtMKU+UkC2YhzER4b0G4UK6/FM9OxANJ8jDHPWq/G
2syTKzrw/fJi4sARZCVm32Z5QSOpQfMWDZvYfUG3Yu+igjqkr7IgiLIOPcRhAtujgEg96s7jBnoo
zIHGLaftJzCsw2KKxcPEZr5SqyOdLP0M/XDkoTHdSFKZrAWUo/o3axzkeSPCrzCpylwZAxFki4i7
uS4hlJy9z/Db0c3q20afRXvp/TYovzd9iZl5/TCl1hzQLdgXgKyjOjr/W71s8RZsPpwg1L1tVUzl
tBR7aMkDBlbjUtEa5O+fQzC9VhaiIR/VNNrhEIuPMn9H158D178WFCJDtmJcg+tm3RNH06IjP0mh
eS0nNEGtUdQdY0cckzGaSGKN7yyitf0bDu+fCFZhZPAj8gqtsNQBkYbJRIT9N7dT526UjyZoIFqj
0XBKVwlbACbm9HGzaN2iwJJRXE7Rhvf01xCqC6roX6GNXgHLGoxoti4y7DjBzXSoOpBa7gAenEvk
axg/YhbHz3/9SX8GpnqFMzOzxVIDpvgIQYCZvXVhqpdKN8hzK4+TCeqkkH8YkJVuYfybJ/wnIMvX
6kQS+DCcJik5Ug5PDgfZmcOMXvPffKE/u/or9JmGo59lrSBAjqivvUmePdf138DF/+zar+ChSNNn
pZuaHANsP4rWhHO3DNlPXvwVwswliRunhZIjetAHDFK7ok7Qefzr1/xnd/4KHlpva+eI6OixiSOL
M32ti6TF6f9zV7986v/Dg057nQEdhOeS7gravE7AZXKf3v71xf9khcbZjxenJlFebxLLpWUi/W7R
U/JlTEMKXyGeKl3oBWjsE0hORP+UPV/2Wqao5Y1n0GwhR9ihkg/5bOy9TNBe/esv9Edw/Re7+7VI
EZMhQ1uoyY+KixYdaDEGj+EK/nsJiaPPOTJv/M2YJyO96rR8J/fuXYKVRk617ZYWtUrTHuDO+H1b
M1g3F44hJfvPu/tf37b/3bxMj/95H/Y//h1//jZpFPtN61798T/eTQr///vld/7r3/z4G/9x9TLd
f1Ev9vU/+uF3cN1/fm71xX354Q8H5OUuvFleTHh6scvg/rg+7vDyL/+nP/zl5Y+rvAv65bdfv3xX
3Vih6DHdN/frP390/v7br0AXxuwPovt/ucpePuSf/+LyLX77tfry3Xz55cv4/Zf7L80X88vpy/oy
dP/6Ki9frPvtV5b9I80oB8YqZzmsMS8cEv/yx0/Sf4gkh7UehAFQk6UXW6YRVqjtb7+m8T+yjAjA
2kCZI+gf/PqLnZZ//iTOUhrHeZxywH4B/f+/T+SHd/bf7/CXcVGPUzc6+9uvP54fKG4FEMeMwpcW
dyJY/Cq6S+nSDWjz+uABYpJyu6I5WhI2rfrt7wx5/oDd/vdqvnx3QkWScHwgUDD444/7tFGRnjSx
9YGME4Lv+hTUfII233HERtrF/2HvTHYkR5Ys+0VMUKlUJblskjab+RzuHrEhPCbO88yvr+OZD135
soAuFNCbBnqXyPDR3KgqIvfcK+3X0lTBML95cm842z2UrhnABRSx5XO7XJai4Uq3/ps75h/P2L9+
KmkxGEcl9fR/8cY3ae1pAMAd5N5uyNtToechmC1nL+Jut+kmcAzwKUhDN6981MBwjewSdo9ETIgh
q/lvoGvrz9f8H6+Ta0lXKMkc21P/jM8rE6cxYPOiXb+NycHK7FNM+/LE2r3ofkkS04crKO6bAm3B
X/R2JsuvDEgRH0l8nOzTllTfjK5Sj2RNFhc5utHFttNT41R7UpRp56v5m7P8KNYqnAZgp7q6gXKk
OUvjUfxYROJbY+x72tjJ3kT49vzeTYO23sI2UUFlqZtJrhETsX1jVyECww2Fbj8m6VkbT7NVP20k
E1sxXGQ7BcqF3DPH8LM/r0zrHOvoMLb1tdfWMS2R7Lp3km9OBjtVtum7UV0+mVZiFOW5oe23bMjA
12mc3qYxb/yOzJqgWZyTPbxG83hyaakKgpxlN4SEwy/+ED9uNhvfsrvCVcGG/oWityud6KxQlXI7
8r2ouK5qfi6n6izln16LIw1LGYzlsG8z6FBjLn3E1NDSHmLP7CNQ3aZE73v5e3FmBtl8z2LeNUiZ
n7pfr97QR84ZU1Wnyk+iUP5YjL4A7EJZCmBJmZDM5LH3vDx8G88Om3Z+qjtFfBDAoiGP40CKxDZP
oaMWdKMuFO33xLm3qvZabfQuyD0zU2zT9M6NzZM5uTszKwMjfc7n+mh0d2tDseslH1MW7Wz7e7vU
3/r+R9VNfuy2fh7THzI18taHtKuOrpiC0nX2wAIBm9PHO9NTzTMcwbfYKY3b2vKXc8b83iCI4sna
lnoIYt5a1hB5DxGA7I9YthG8ccOLVhIElfhLVfyip08erS2uPzxc4dqX6vOhiZDMRQRuPNvPjhgt
kCiLkfscj1+Jtqz9UXqf/KvjwQoVZvxaNjnt6CqpPaJqa30LqYEqR43ls5uv415AFMGMbIb0q3lZ
O34KvXwoLrpjpcoRKq2d4lsyNekV+uBedb1+7LbJeQLOav9qXP5vX3+39AfYdP17+Of9929X5v9L
l6SEv/9bHfNfbsjjR7d+VB//diX+9Tn/ug+dPyBsP+NMlGC3FCzW/74P7T9szaTXFHwL7qPP/M1/
3YfS/MP1LM0B7TiOtLkw//NCdP7QxLd5HgYpblf+5X9wH6o/o5H+fvoKYaGyeYrvYrpczda/31K5
sBIrB1A8ZJPh3jsmmum+3KpyX21Z9h7rYfyKplycsD5jl/fayPLVYsudCbFw7CbLOzG8G549m68R
Tk7mvTKalu/WXDl322baX1IV9Te4X3nCgJh9r1ND3mGHWxCcuvioS+WYzGe9dA1atjT8zJfNGv2+
HYc7nhHrxXYy5OvUKKvf69pYN0YXxYtVCI4mjwO2SqR46FuZh+M6VeGA/+AUN26MVBJlrywh7M+d
4UavZpNktwxOISWFGOu8h+yG4rFj4O1SCAxmiMXjk2QkLkpmUuBTcaNAxYphTQXSf4fNhPjYPq1D
G2tLiKUl30l3KTlKMEJMoGl3owBu8iL8EwmQzppq8wpC1dwkyzfOC4L1XpXJdGdbk009kOfP02AO
t3qINxwkurprLbs/cXKKnUNo51NRJcNpAltHITLh7UZ1h4+wuEMyng4tA+GvWADgy4xqOseOZWMC
afP7opDdUcHAB58sEv6GYfvwStYkyzRr9jUEPxJlt/rD5hS7qBvUuaPy+hLlze+qGhg4V4z602Ap
8/mrOSzxK9aC+X3FOPDiRWP0S2w2nIHtbg2XaCvKKiDR2klPTGDLfp/KxPxaeopjzC6zlIjEzVm+
sYxrtvd5ZKcPlTuxpN0tl4tnJMuOkZ+7AtdsbhoyyfbCFSDKhgGXiPyGXXDj0M1UV3cay99iXSj4
J2Gxua4Wioumrq6yZAlItKj2uVj5u9htaQZ96vxel6x63IjePxuLlre8iOOwNKrhbcng7HrXG9+c
KUtfAfNQQFvjydJZc8kw6/w2lhS9ycwQxrPx07qUxevyCBHyM0ncb0o50a3pto4/uhNdLLqQcJwr
FftDVmM8iAaJD8hxGnWbpjF7SmpXhOnWr+el3Zz7EuaRaL0voO4i8Wcnnq4TMX4fHYON42rZ8xH9
LLl2a5OfVFbsrHiJjrXRAzFggNOPkDj1/TzMwHVMzQg0SdTXRAJq7fJtMt4RvNLXuCnyU5XP87fS
0+bHHEFdJEkpwxre8cKUtA+B9MJcq8d0Ee0TsykwqrGYPjJmKq9qkcmhq0f5Faw9BpidUEK4pRyB
+SmVN7tEegz50OYu7sHgfUwQ8UUmqKub0zX3akn7B6IQm7eIdLwe3NQcjxbbaFiVzJW3z7B7Rmxj
zQIuWPEUGww4cWOV8t6SakHr+FOgZRpt+ZMlgGTK1DmPIFchKEB9YwbaMrrMrHscFT0Y1ihwNA+o
YpPToVc7mUoDzVV5y5M4nXZRMYhfEZOPX65e0Zm1am8Wkg5xgMTgi4Bwl2KHgN+0YdUT5xTM2py/
pB0U2EHQ6BSfAn3uECEImF+uWEHA9SDpWum1SThWk7pZlTPu6kKa+zFqOQdrZzBVSL2IMkXoJlyg
dKZ0vzmGeze4ot38jqP4q2NbG/f9oqlNc2SHzV+3GMp/KmYFvppqdqh2ePeuQ7rU75J1mQi4WTw+
LsZU/ewxPixBVMXWN7tTi/Krpk++LvXncisORGP1nSpzJjJOrNH5ynQVDCIxpPtFmJa6y1sxgz9Z
W3VGeJXaZ6K3nliQoAj4ZsGdoHZLje9xvVjYvVRDnFuiSnfnFS78aTO6N1mvn4f2HEE8phRFKTR9
texHi5VJB9cyFxO/mmd81QkjSj+vF2PxV9EvkCUadfOYplbDfjXTaO/mImMl7bIMctnFFobpoCee
m83DlYuAxGisfk71VCFXuBsc0Rp1/XcTHSbzx1Gz1juFSx6em8Q0LmAh8FOwxN3OGZN4ZWJfrs9m
nDcZ3Us+fkX/0yAB6VyxenCc7XSH0JUEOY6/TxFWRbkfsQgIsViqybeKXJzXrNAnxlHoF71Ml9+d
oau3kTroULv9WoCPKCh4wmCLJ8TA6G2cvf4GnPS7ZY/Uh0q9J3thDay/qdh2/KWo9R6xxTuPaly+
re6E4QsVXX+zRxNHU1zm68nUsRMxxy/0IRZUdJ/xfe4DOyFY8IrQAq2UO92MFuPxC3ROMhzAePEp
aGfVc1Bw+H4xMrlc4J3jV9NOq5Y63e7DRphwCTMMyi/hcqtIb14GbFWJuUuSWd0MrC+OD7MHdEpI
jjoZRsFzz3Zs971RhX5ZB51foJdxS5WMY7C1JXa9HrYoIiJJxOILomxyy0uFaIEkBWBW6Sp7V87E
z+wUbnnW+F8r0upSyuo+8fozGzTaN2IaSvtEL7M2bEPAvcMqE1n0QWf28pqzFuqrIQvSpQ2z5wdU
U1z8bI0JQn3BX3BXGRNPzBCJ4i2rivHCGSo+TDGsb7Ppuicsf+sKA7dlnL2VtAHHiz4GUl7Grx6f
/9iTSIGvJffmg6OU8bWFprpYq2t+KauBSw+rxCFKK+81ZlPtF7PxWBIul7gPZzRBci1leUNcjjq/
jnhlOXSHe3ArMfkewO/rNNnrEG5wyN+MvEb2sDCu8Iw28lmlTB19TkXje4Xpe/Nd/Weuh1cZdmBF
LqWCNw7FR5o0W3MwpinrdlDwrE7K0prdsJlVmu8D8vtzXZlov4ntlm9ijhByunV2njKZJfHemclK
6CaMGP6Q1/mDl4gt4eXSFlE8CPQXApHgpbMseZyHBC9Qj9gadnMaimwrvvO3Is5hW9zmde4HboFp
4H63xfaUdwmsaC7rsvPjVnwKfE1VPxogMJhxWsN8bbJcjsE2kt80JRud3xI5TnwcUoTTK+mg3YrZ
R8dDGBENfW+2Od99dqw+Daw8id4jvRQnNspPCR4nXtXYiJvXsV/04zCnXlg0oEZ+xiKFB1GU+GkW
kxPVdO3+CfmveZqRyPidTdPaMzd1eeJj3MBpsupr5pmyDWxuON4ZanWORjaKvajFSG7TlKe7bDPB
jhyRJGh6XXavhUK2jd3K+tiEU78arQfTQI9m3ulu4RXx2Ml1Nc2FV6ixm/Qoltj9ICtN/qDB5seK
vWx49cSCr7lP1iR0WAP5w6WePZLA6r2mZsrGjK01OPwG6y7H+3UrVhUtoaGK7ZDN+J+4aZv8UGpR
pn6ZYZU+1FnvXSNvcS8LiIsXbBYp+GGaJv23ucgTkOWKVr5oPBaFjZk8q8iIv2+DtYL+9pt3ZR52
l7jSPK1bwTX/Zyf0/5vG/26yymjt/9Qz/q/qZ8JY9aH7+PmrT/6tdfzzM//qHF37D0fTOypPcSC4
9t8mqZp/gfDSgvGqzQf9Z+covD8EUz2H+asj3L/1jcL6AyAOmIovp20Llel/0Df+QwxkjMi3AEIW
jGy1ctU/kyQ161AmQcDrvhvjuX9ORtd9obypmlAxX7y3HbyhoSEgWypzqffk2mSkK8Yq/NvL9q/5
7t/nuZ9YPw3q3xtYfgxQEsolJemm3T9/0r9pLSzL1qmxetauZvPJa+6uIyCaF52mmH3iY556V4LD
/Q21ooxgKZt6PLqFZ+xERjfB/0r3hsjrQ50n5TeV4EOuEthNSP80Zb9spB7MAW/eBgcSEoQy3iVZ
imkna1W+s2FOHpMeUiGlhD+5YFCB0RobGGrMjNno8jmUyll3VYwDCa17fhegpsAnWlUQ16t30VgS
Vt+zCArI+PiVkmQRp45j74ObygrGzL6DxTCO3I+q8Ld+kB9kYRQ3Jcli9InEZGMZW0Iuix6CFKjx
u5TD9lPknXrxeBMcyBqYzkM+U5Fj1WLoneQp+P5cfydQpz+NeuruE3sQZ1oqK9T47pmt2cMDpG0U
2pW1MnyT56JujgiwODk5q7+sbPluYe64VGx0oHcxRl5Qa9rIhN28+xF24ZRVjLW2SVrXNomNPR9i
HuiXdFjPSXfsbdO7xoacT5P7CQ+sxb5a4zVs7Xa84G1OYejseNfMbUMZRyZVMLaV3K/OrHYRUDa5
XXp4Ua3ZhF5ay9CJ2+QZJ796dzY3QgoCIpDkNRybXm78au3DllMBlNqYb9RX2cvIoty3ecZ1kQHu
HC3bNv2uttJdW1Moyq2bfrZl5u50mVePNvUwdbo2xhv7jLtzGks7FICoRF/c7KQ9upVxcVumpvFi
YNE3nXuHe3f1zTwWzGXhlMvKgouFYXbyyjvk7CTz+15/glIM83RihFW05UEPFNPr/oFAbu0XCTSJ
M5IJSdxAepQTEeCUtRgQ83x4TzM2N1f9UIPgxUOwVobx3dnaZedO1XpXKkzVn0tM8EsYZHd9xhM0
OHI+/0v/jGE0DmCN8duGsYmaSkzrLbZnDEZJLR7NhZnKWE7LvdkYW9AC6oXzRlwMgOI9TmPsSOW4
HZp4GB6LQulDUdjboz1EeJI2Iw1KCYA6QZg85Gta3UMUxDtppWqHKVCfyHmwA5W0WO2YkAeTMzTH
mnTA16KSkr+m02INz4kW8MrfEkpkJ2avfCFfAqIRuCjka5DNn7T6OC1EYy3YNE+1GtxDRSe0k9Xq
sXKjdOKgNDxv18WmGywYfMMulumxwzywy+PVXKjzapNyxe3UfqTSh4aGx7+DjNKhwdCdkWu5lscM
lfG8JtTio1z0Pf5v+TQt6K1Vf7c023bwplrd3NpeD1lRTSF8srjFbnLvccjsLNe+Zy4SFAnm4dis
xsskZPpjrbvkdxkvY+AV4BKCnQTXFUva/ebIlpmb8I6YyvS5Y3HjrZrt4bTRZaISOfq+58cOWnwt
TzFurw+rcREiskEdh3kcf3SMTJ44mSl5nbr7ZrVjBr2YRfCRmvy/BrCwgmKOdX5ybRWgInef3pBx
XA9qa8s5xLEJn9w37biPknzeq95zmzs2pc5VyLwuu42AkWHSGdk+iyG1mG7gRIrYiREIHDZDaLWm
JD6LmQEbruWswymNXnF1Rvc2gRwbfk6vtny8pfydPcgSfMDCHR/xYunCt8y+e+3bZgtyEcX3bD2m
XcB5e4skbkLOtPXQr2N1ntcy+dqIapoCN2aYxVgNxWCRXk76/lzFgYXBTV6TJldnB6rI3snG+7WS
4RGfmqpqd/M4VGcXs++7nWKt3rIa0/tE5DqOGkcfKlj5jRAOr/md1vna7KKtG347vdszuNiG95KA
mGOj6/sqMd7aZe6PlWEKok4IvnDR4ze/KYRXftLkw6cuY38FCtesKU7i+p0A5gK3O7W+Z87OKZoR
PNayrE6JFc1F+FeUC7hU8UDsxiQOZTTby0ln6+RdmxIL+y8Mzv34JGiYnkn8lct+aIzmo+dR+Igi
q3qti8S4kd5SJX5Uc0HvRMd3K72NROaM+A4uqch+jafpPS8947K6aokupo2nWuOv04EaADr/SoVh
5YY8w/jKp7+iYVhJAgGcrpppnKWeuArZsjI7WZE9Dn1fnzAfps8jFM1zIki8CfHVMGyYSq/9HZeY
CncJcslb1S7yB/6z9TRA9x3WdNIXvU7uL690hO1HlpkdDRTDa5TZS+Ib7dw+szpG36qFV5VMaedA
O2n7dm+0+imPNGKqrdsnm9P6GZm1PZIQhSLVx1A1mD5c7WMVWm5yi+TRVmnMhJXa5c8Uz2Gandc+
MQv3vid+PztP+RPjYfeC17yny8ljZt111AQ0DK35Vntd+nVW2Ug0X8NYzy+LeJC7tB7VN43NobrP
QNLr3ZAyQPd7zPm7Qhhd77MDWTyKStYct0b8SLM9vxddI75IY5bP9SDKsydI5bfkUt9HhRF/qRC5
TlQ1SIF64ktQa80ZemY3hcWSzkSlWMNFODb0s+caGBhY6SfI4A6qeatB3xdr706G8elAiqYv3SKq
LMyzFohcV/lyt+alNew2jGzS3z7hRCYP9XLMxIx+GcenqK8XhDljDutuTd5iq+xvjmQEZSSJYHrO
7HniBUbI5P4ssUIadCGg4Mt2T8eqw671elopPI3UYu5hWUjm4FDNSxhydlsOy6WJ6HIJgcLRc3R6
HIHnvs6SM+UMUU0WTgEgj0i/ENWRYHJvuN8PXuaIB1Yfb6SC0EzmW637IOtk98Rn7VW2poduXNhd
XaoqREBwLnPcr7ukXuOS8V7XvzeR3vwoUyv2V4s1AqQWcB1J0jNaZfi1cNjwU2/x/bStaj/YvEft
pHOvmkAWP407Uh5s2rtfiXlauuqdsfcHefN+Jlm157x30ywtRNoIrwQJJt+pL+v9IFQDEbqs05uR
rO1DgVN2J/OoyMPC1u7dJy+/HVawarIkc+9A/Ct+5dwrDlkE+53FsT4olt6GzFvIPicCI0HoBZwU
Y9nslsgU60O/mFZ9rutN4dsqSe5UicGEWhbZJc29/GUao4RhlmkewMGKU0YM0MOUJBLyvanXX5NV
Yl2J6zl7cwcvCitD4X8kksORQQbS3QQzTq1yV5euRRZH1ZtZxBAGR+xfAUuAtWnAvH8mOSYq46Na
ZpT5ugNhaLvqynjUvMtmp7Wob/PXpU6kdZ7iyQizWTjR0Yuitjhmbsak33JBvsWmjvzKc/Dp2j5O
chLfxz6WD/Zs9dTV/Wo+c9okJA8kEOJhsrBJoBuiXTlF0xkF+Nrl7l6SEYCoX7ISminpdVYKn+JY
GB/bHA39ARulcWbm8dFKw8O/7SRMFjer+DVWTnyfcypy+w8lOUkwsFhJ12hFUzerG7vWqd6MieEG
ZvcHLrj2wmpi++J5BkC/TeKTDcBOhk0d/WZmVuxyIZ37RaUWBbQz4jSdiRFZ0sZ4NfTGGbIuUbQE
XlOZh7wp+51TqPZpmzUK/jJY8q6LTC9IvQ3xlwSix5VT/GDFhglyTLwNc7giGIv+V/fp8MFb2CKt
s7JeK7bLG2oToRLzXdRRFKSzvEj+QrtszZ3dpM2aCDPH3mkuGtxKbbYr08i5kUaUvIqxQ5LSwx7L
SX8oAHMXfuttuHYqzi+kfTgcJFYxHpnMU7jFiXUybbV+ek3wOBbVpaiLL9oqfxmRez9Mbu3nIsmD
dsnNfZpU88lIXW4mFt7VjtP7WgzbfdG25Y9p7cb7muoLc0oUs086T46gkfPZEd9zRMgBT/E+lzko
5rIepWEn9FLbHK7JWu4FFxLxJPGaZAFZMUc8w2sQWQRaJyd0nfPn6Ker4ku+pfoWO7G4VC7+7Twj
fS7YGtWEhZjI0VjKn+7ckqrVT/MLC5wooqu4DrTLfPJzShUyt8sfY+SAU9TF9sUdRvvRFqV7nsxm
2g0iI8XHcElG42m/jOtnzJCsO0EJWpmfb0MAipW3hrF0RVgje0R4yw+Y6M9krhxwnofCTQ5YWHhP
rwH6UhFSdaRnzFBZ0FnZcuksZYar5m7yt7oeT8IpxT5j6uvHtoKbL/POZsy6HO20PbYmNcRmTy5y
B5JMrLPiFG1AIKQF8qeOmtoIknIlQwBj9yWJW+/dVI19YH4s3oiNsAOvjYtzs2xjKAwR3wpDkcY0
e9NxmzLrG44p+aadrXmiAs5OA/nHr3kV1SdZNcaTmEb1lG9tzlmpyA2wqw6Ja8iSW4IEszMp2n4I
VnqdXNHIzLeH+qdMWuUb9nBlvnshYVeFqxl9NxfuPrkieuYqGFPjBRwfE8g6ab9h6H401sI5Ldbo
3WY9e8/kuAxhRXxRUAsK2Mmp5I6EEJdMgeZqosARdlKH2iQIChE+dMzyKZuWnDqh6j4AHG0kQxkF
RK0Yp15aR5xcxtmUabmr2NNGpNjQnx0vf1IY0ZRbad+yu7vaemvN5TYSLEKw994a9Nc8me+r2RRH
wsaesRfv0bzAwbpjlIvPa0nHsK3IZ5SGb13svZelF1pT+tEx2AiKjnXkjB2xAixjefTIr/K5Zqor
26Ys3sddffLc/OKqpCR1yN4umqHszlFucSxz92CveR3kuO6OkVmlxF8V8YG93s+mhKh112oKLFzZ
IeJhm/PmqPXJVDRXIKT5D2llNeYsBw8UeokOs5EzkgivY1JnMlRDYR7IdIv2NaoHwBq2e8zW/ZEZ
Jw1T1WbONY1ZF+4uTrjhrTl1RV4cUuckxuQiSutIoieBwSJVX5rGGa6m7cgvaWaTL9QhfO+UxQqa
Q16WQLR5tLpj4GYj7FyfNq/G7BWhK2lRNg3BW25ec8EwOT2Td/KQKxPHneLjcaJhLjkPZfurWshH
Q1sxSoa4JmYx1DWzccMWoHbPiKk5ZS5hUK1c8tDKu/W2Wdj/tWOZPyS/H2rBmA9QT4v9Phpue5qw
Wj4sY6X2EZldOCsgx+Ki2U3tYu71NASjjEzOPJQ7bZhPE2E0dDiLtz4C/rEUyTV0tx8UhqWZReL+
PJu89DimsNbN3m42yDfzobevJb6IUDd6vjrstbtOsr7FKdHfm/jFOJjh9OacPe95MXO4ePnAashT
OaTfoY5+rXGnpW82NYW41S6Fr3QMgyi6es+1abBaoVjCzDLMXW2U892YT+RmOUZ65OY65kjswkHi
INASFQUdziuPrlvzQDnljtv2l56tO6NS3qF3tqMyxEURbudTa+3bafo6WnPcBaxgy08t18FzJ8z1
TkbJ11FaJDXUxqtMPXVfZsvwwe6f5si/+1VO2eLQQJxkSzdGiWI8L5681ZJ9NdliBk7d6Gtrkd2W
KeudAxzUw2zVq5SlCA1svaG7itcSBjTMtNsFG0l31NBB1+QBJrBfSGzIylzNvueQppSPbuevpf6d
OyQ9JumpzJcgmcuXliAlP8e7mMJY+S0X+L6MGiKo5KGo1nejcW2eHiPfpYgtqV/g4n2mye73hZ3e
sohITE8MD3NXUOohlz8kvfyS4UwKnEVisS1M6kVWMe4dAe4i+3S/sNwqsFOrYJQn7LtlYZ2hW8C0
5F0WharSO2ISdywmrLtAiels51ewyUszpymPY/VMCIc/gvlFXu8dU0A3vXlo3P04euFYi/Ilbuvl
3auGMw5sRGEaDnSn5ajbYjmwQsaqdsWy1qcUo+/eIHL1ZIjEOua9mB7abYq/xbnoAp7QD1r+F9kV
wfxgNT4u258Oc64XnGQ1POAUnRImQ7tqma4GzBD0jN725uK4R9sqMnqTEdSVccs41s2rRF865tkK
gZkartyJBi63GiZCUpq1uVoOEzPahgheZtPPJMGlQWRuy63e7IVZpqXbk9bZGHYwG2HlLewzgrL0
SHvmD2XGhA9G6c4haMzz20amXybYpTveZztrXK8s3+2vyHSbX2cmU68TQTfujs/tiZ6xjROybrqr
pbmGfE/nR7NF/ZEolGcvyp5Lq04OTp01B8zS+asBPhC2qnsYMS0jzZmoymRbYMg3iKHnnqdOJpMg
S2wMVuhS2H8nH4Rmt26OjanNaKvT1uRN0M7zV1XDa6yc4iedxvYNCirHS5gYjIiLvGl9xjdUy/Mi
XQQ0IgWATXTjhCrj48jxQo+s2GbDQ/HTYdSFY3i1HiqdLY9Zj0YH6sw83AP0YpK67HPLit9IDMyv
vUtsXSWxYu36NEOcNaLP1LoIkuYw49P91mWYz4dcsjmOSpOCKh/D0uZGTgnazvyObQcG58JKehi8
2RRfJ71eCMkxXokV24gzofXY9YYQL55S7IHGcZqTwFqX2ZXQ3fjiRI04snXZJH4hrnh3ViUq5bJq
586ROsWu2rdHPgX4zEoHQmKl9Zp6hTqJQbe/+6ShdIzs/jqj8B8qQ5qPFljOvaFreWgT9sYRmkMB
xBYSwaLAkZt3akp1NacBqTMPoOQsQgWZUly9TrEtubTiM2u4rBcO/up+1FAxU9wOFR7EtgVULmWL
Ta4k47Zg1SROt7bh6nO2YAUFZszWjkzC6tVKPlzNeeFj886/WMK9jeT4Mcycq4esrXUgFvtXhBr5
Hfi9TrDLy+hnVKTlC2XI18xTWOfz7tEa+xfLy6dw+hx4jbhMidpusNg6/QW6gLerYvDl6mo6LsZW
fTQqdY4uSX8BDh1zN9VkL8SMB8N4zbcHc5yWAB0B9GB1XMZm5P3xaNkM6DRJhiVp1TXA2J37qd42
7eIcQGy+TGuCa9Pq3lKB94qYJULZLKXvtiFOSTjo2282ubqsRo2c+SDVaLfBaMsEgpvGJo5eiAf1
Tq73We6AVWl3vCzEaHDgLdl5tZzfKeU/0c8l8DIjKE6CRTXBNH5m9xbEQwX9li/hOIjqqrfoYXS2
Bx1r7zFxXAKoJ4D5erB+VAk6b6cAlZaS2rjLPnPeCD7/+Ey/ISPa++YNwj3qJiHwSbk2EU4EFOPt
bkAaoiI7kXwjjty6tMbWOaVq+pIVQt1ZgrcfuWTxeVxc40hjh0+zKx6HVBuw5MLcO+1wFRTqvTtM
rDZlKrmbrK0/5X1l3E3r8hnmY78k7P8Kq7xEXulwXyaGnsIR8/daEflMDl4wCHlvbK15FY4JEBCx
t0q4MU1xnntMhuAv4GyehNXxcHaVQ6jeLM5W5D3jhbMvSVU9mzxEvqnmPdm/3o6MjZe6yO5WkmWC
RBN3tZBuJPwtF44TkAxtHvV/sHcmS24jaZd9oUYaBnfAfdkkOAcjgjErNjApQsI8z3j6PlR21p9T
V3YtetFmv9VSJTFJgu7fcO+5RdNtbSoczkJGo2LT6YEzefRS+MSl00VMARrBwzzCjrZcDmRLN9Xz
rA33s5QeU0vAMmsKi4WvV7aHksfQn68YaFrqtNpCIkjOXdQG982yLEdEJOqsNIJxZDnPMnQvbpvo
bQ/10U2sUwYYQDHt3gmJSgPyxkVTF51iKFBoE/04b17mHk3JUDJoheaDWt8D/nAJ2iHyFxYsj410
8rVtlNmDY5bNqW5LVvmhG71IwHf7tEF9Dpm1RFytoC9ZHlr/Smw8wC67vINoh8SKXdM5HKPkmPBb
+5pPQRysM6+i7O5AAa56yS8Ao8KN1SNsW9UihyNYdccQ47g/Wc0BxUxZrISEUgNwkGowplpYJd7M
dZJnATZ+KUxGjm6xc+pc8zWq3H4x60hcCyA82GrKim9g1Tt+P9BBbvhHkyPAp+dOMaLKDHtbcr6d
9Zwl3toAy/mxpBRm3IfjJR6XAR1skUYrDVHljZQb44m+H7Q2j/ILaq1hPTFjj/y0j9o7zoW25l2L
7N2d9PCBE5q+jqGBHlgKpamE+FbIOGV6K/oX2bXx3YCsMlzNKV8CO6Yxug2APMyrBalaxiTB0U+Z
5baHaCoXjqvGHL6MpiefewI7AeR5zKmKUJYFk0whIJqVdnYXYhHHPJpNGjpjeE2E88BuVMi2vPi5
z8bmwDqKMq7o7XhLRy32Hvk0C5aOCgSiB5AUeNo4vCVe8YHa0cDL3n3QlhsA1WMQgGZtf2QUfCzc
EA5OKyNhJNL2pjoNdhdzUpT8z4eF055nt4woKU35BlOX3xJ/bLZnw3Hbb8DmYogB5Dhvq36QnwkF
+Rbqh3tQQeie2bJO6JtRhsiBnXCDu2ZbxZm89K7gRIu8kAel9vj2+sh19oYRNOyfwERBs9XXSVex
olQcvvPpEETdTZA2rCTem1Pz4KK7ptIMLJLBhTTWSZBk585wp0cma9EW2v56WQaNnNqo824FG8qN
+fklQ+h7QGN9zwrktxI+6bBBUVwfW8Dsz3anLd9mKruHIubcZaORtmsvUCOraNtZO7VLVSmstQkA
iYtvirdsFHeo/oCvL+prEYEyVECU7nnwCcwzdH8o7dK+M4foqybQvMDQYWerfhy+iAorfivCepOK
5R4uGDbaKteQCNAlBWDF1m6XY7uZ36qYtESzXjl2ifDaK/n7tfUcotAc5rQB3aeWFzg+pj+FZbPp
k370p8nyEO41R/gIdB3e0uzpAiN8LEbw0FfgVrzefZ+CDttTUqh6Y4LbOieK4RchSt6DSAMSCxKc
R8QDRss2ipLgMhZjvO0QLn7BXPSdsAK5TnUg7oqmyV+KmLuDTDZz5WkdXxD9ObsBeHm+bhCGEinA
xbCQVRNo9InBQNeRJslT1Jvdg2ez8NnYeRxiTrHN+CT1TEkQKmH5ocOdLFNvHSzO9DjNqbWH3j/s
xKRp0DD3s0EE21uyOnUGb3O9qT0aj42n0WJXCAJWlVWbL1NfYZfq25lpCvpWFrOWnxB1sAEg+URn
RpXSiWanyso5Iy0ibWjOYn9O7Xf2b8GJQiS5yagm13lNQzPHuXuSFUftkCBKRoQ6nLMkkq+esWxA
So/bJHbmfdt13j6tquZULVa8TfvWfIjwhxN/wD246qoRSj9VS73rijF4jIbJvWVcyVtJWAp6dSFO
rKatez5VACmumKuzFfS4sMCeTCtADDYyiopsd6jKSLznIs92bF/oAdm6TUeI1DEw3IWnh1nqU7iI
/s7pq3sjXPyCad65hqF8ANCU6BXUtvIUEoVgrmoTTKLPWgVSf0WUll7KH/XoIjYcXVYqBBv0nxnS
gW1nZMHeCZGSr8q2sncWhcIJ/MQ+y+fua4oI1doQkjN6q1AW8Qvf7/ts18luYojA1cVefQVSkLZt
Cnw3ad9McMi7SMQg20CCyWYlGNMx3GF/Z/pCOPBuFqd3N2PqslJsrOE0L5O7VnXRf+lmZ75PZu7H
qvaSVQc8hKyo8uQVsm1XlSu5bNiZU//XcxQ/dLA0GBcnQNCckBO6K817dg2wSHh+c/BgOLnSz8XI
46dWN94nGzh9I3vrGCMaq1b025BUlT02BWehlYFVM8o3g4XsXWnVzRWYbfFUWIZvpk71PqJ0m1H6
XeGeExzGE3dB9MEMlM7Drp27EDvIBmEQMD5V5Hcs/ifIdAWc3HYS5inMQXPgqGDBZMgaU6zxJYDj
9q4BLrlrtxzME9NnbpshkclHwLCSNkGM7s4ZrWSPZgexfNnXrwyGvsTR8m2cdMY17jbPjg3aJ64l
oBKu0/gNbt/y2s2kEXAKmfN+bKjT6TVauikzQx1Az+KHGhV5mk7FRc35guJauXddnnsbu8rGPRC1
YVkz6eswkoal2BYVwKNwhLc30ol2EMSxxP9scFLGEojAmwsbLzS1cXl1xIXttFcGQOklMtTOqCf7
UgpzuPEMNq/d1QmJyMNYL0z6fYr26T5DRby3O7K1o65wnuu0S9E6oFph22Mi5jDEsGv763zcSBvr
NrFH5k5mkysWXgCvxib1y1giJvJCboK4mBm0DzFhLNYIKh4O0Y1JKMa6K2xEPsXi2hXoNC/x3doF
quq1PxIrBuVfBjU+nQQ5Q5Nmy8Z2rCeP2f46Ni1IWpymG/a7+Y2R2fdyKJbtFV27suXi3QIEIokm
nqZvQ0bC31Vsqi6C5XdDi7ToWzO28geWtPrRNsR0zwLb/WarqDgZs8terTCHY9JAyF+HYQbbpYzU
o7i6Kmene2uZQ19TWJrljFI73aKkaXZcpehdQGvd9Xb+gP84vZmoufYJNCJfjOqlzpuIIIw6ppRU
U/Jco9e5HxH9TiuzF8kLzg12BIZaEDfFA/ELznIGqFqsizQYrgAb79BG6S7Kx+goc6IGAPapYyLl
bRWkhJ84udoX5VwcmGVgkoirnF/ENB4BvyyXJWmYbzaelxPgMptvQdGg+iD349VwnQfVBM96qsb7
qAkL3wvo4tKmxcsyysjPp+QSsSeMUUPthfL4/Wg9n+akYvKaTcVtWg7NumjSg0M5eykAl+1Hmqgb
PeekBtA8OefK0+Weud+HaqsnYc6nMGRhpAx5LOqcpY2pwn6fBJP5FgFy2rZZrndSiPzZ6j0Oro6d
9KFIiqNVuv2JmQCaECEnP7bs+iUDzHlWkAhWtMnAbRoW1QR9uEDW0SvV6xre3Dasw2RvGzGyjhKG
fW7WIOvSjgHA1M94faqQvWwkzOzCMQ11mZX8tOHmKLfsJM0TfoPvVWMx62lD7EHxyGgvYxV5y7kl
1+i/5iN6AghvOpyehi6cblURjHvdq+UBiWW2QYjOSEpbxUNNcfEwkiWxCaO8+jJnA3bPqJ+G05Sb
ILq1pX64+MdfhjbFUbPQlDKRDuqUX/4CrJ9I4dcizmYfkzVTg6g0/LSwUwzgMjokoywPmJ3tixW7
8a2D12QPYROcth6d7p7ZQPSRYT0BcVsVQCoZRCJ3sNzT7LbizUrHifNsaZkaTvLULzNB0nM6Zei2
YvYJUuiPOtACgp4VfjAkpIZIrqMop04uMU14TiPQy6Pq3q6joFczQJW1IuOl+7IgA39huhF/QZ+2
3DHbcDahDgySx3TyPTKw6MyTy+YgKLOnIAmiDWsB2nuY+tgHKu9Rmpa5i/parm3lRg9DyPp8XYk+
O3ZRkv6AUzk8FlyvLGbm4K7WtZRoJ7J8n3cJrjXCYY597jjbuuWuoXkuzPssm7GfNbV7ZmWVbVQJ
uplHXrR3bAzEY97TgONXSR/T0viWtA2BlQ33J6j2I3lIWI4c2dyF9WR9ldCeN3TOKDCKEuuf8GID
YRDc6K4m3KdNgbIxnhkeYIpRANojlvGMDOjt0jDIqBI9rittWz/sBGM5Ch2SByujb+hrgz66dykO
gDpOwTEv+R2OTZ1fEw2Iaho9pgVso+yHsWyDh0TrchMiBHgqgviR25WaR9JLc/06+yb3PHZpUXpq
02x6dscIK1gHpUUYGRwLm7LWp0ZOX3VSzQyjjSB6GwShRkjOk5GxA/NtWFjshQzCwLae6YhTa7vL
16KK3Z2K2N61CPzXmpZzDcSP64pd3yPTMPIcpHdV911n75XZtz8Q18xrVYbycYFVd8DLk0EAm1sA
lTGG7HR0mWmwieGnWuMTAT1C/hEWTvaqBhFEjM15LNlg59MtiJVLvlgdyrhu2PY4I7eoyag5w9jY
FaxuHtsBKHw4tHJvCuKf1i0BNJKmclY/Foj13BRL8ZzC6aAWbJ1tnLkQbIcxuG2SvrkTQZseI5xc
tPAIBXHECMVHbn3nwDHOQzC33cYlAslYySzjDPofaMWS5Aoz30bDKK11psrvsi6DzSSD7EvWzSEr
FCTDz27G/kOivrofiiAB1d0Ot/A2TZRIBWLYdCDtIRIYDP+fyOX/P3JPo1sHW/N/xov8z7b9mv9e
//7rX/hV/67dX0zLsbkSUHa7nr5q6n8liSj9C6p4/m0XXa6wf/7JbyQR7xdM09LSCOQtVrnX9Nff
UCLiF8tG/q5ciJnS8az/DCXyE3z1X8pzJTQIAl6JsTDYTF7rTwyhMvJGMzJaZx9EC7FB5mRE1qa3
MAfuzBKhJT+jJbtXBC5GKLQcVayRJXR0qV2CTiPqvIEMByiVjb8g/9oWylwkWUWyL5ng9kGMdlsg
/NbNsLGhrVxZOKzEDG7xo5AElzGwUSgt9ID7tgCvL3HB4PSyLyRS0lexPKW5NIqbydbxoQ0DdtK2
eFSiatd8gvPOrKzGLxGRndH5bAHz+YkYieZxnaOX52uv6nt/acgXQ5pXQETgQFoaVW49Bsg+bG7U
thJxRVnrcxAa1u1gtOGOlK73wopjgJKZ8hOkTQggW70tpfPJQSrXI9lKqMCIMKmwXnetXFb9FMwH
dEjdZdF6PKaxGX3q2oU8MVvtsbC6r95kqL3pmc026StIXIRGnVXsfg/w59x29fS59CyGwcRRHiQG
FmmPnc7yjT78YISO3+XB61Q7J7rjGwzlfjf3x1xYuzgy0UiSL/AhSjVug8n5zLJq1wqE8leydp/N
5doenadQMyxmIL5sZIrUKA9Ji6qt5JXMkWnTed6bm5g3CQ4j7Kf+2JIuGPdTvdFhjRu8N4aTdU1x
sGvrmOe45eZY7FCK03Rk3X3aVCwil6nNNwLPApki4ttMnoyfN655wfNr3829RFUGkPUdUyz63NId
wg87cNEtsD29T3uHA9UaxUfT9MYu62t1l+ehd0KyPP9odAc/noyUmq51Wk4ojMabJkrvTKuKf4hm
RB5wjcuw8Fat8hZ/pYyz7rNKezoIhXij1scUIdQadx835GI0zh3FesBRq+5JFdP+6C4PKiovIHV3
Rjh69wv2yoMcshg6bUdGj5kG9j1K6dqP5fyRyWTaKiN7z51+OLeeezDsbDEx+7bpg+cRlOChRDpN
Js642kXHlVQj+0TAv6Uo5lOXeneWIeRDF7atdeN5ZD6wfCks/LvEm7KiBazbb7uc2h+u7xgihtAZ
rt1k4M1iGRP87hK352Zn1ZFnGwHBhf1ETCTK2jAS+6FRCkRH4uQt2xZ8/+j0wL3COCWqCE46szgc
5J6aQ+Q1UewyoSsDzwcrNLLsSyxa+N4oIuIaw4YtmCHivNv3cKS7NayFFvNICqX8FZUf6V/8nlW3
+CmoAjoys1Rre1AF101EC42xACHCCU9xNm4Vuir8Z8yeFOvHmmoylZlRwjOOF83rsinami105XXI
RNqlQAl+AlUJYtgQ68F0MByIwdhFEFoJmZGMODYdw6doG+SGaj9Le4hyhDIK64BFOhlizVrLd9MO
59di5Beju4T5fdjg2CdJCyoDdpOo3COuylA0DQbzJ0rLKwG+zHD6UE7xYYFQR8whNj3/Gc9pYvIL
gT4O4YjVXpoU+WOLkeH7GNSkxsYRjgy0KrGV3rtlkidbfIOF2uQdQtPbKC349pkJRbtwmJCu2mg3
M8hnanF88KZVssv7yLMOSA677KNujD7eao8MwbWdqwAt72BREmlSV6AnRA+6WMwNWxxesK9Sn334
wButIq8/zMHUyFXNGhaw+NElbeQ9xSN7LnDGfB2h0pE3FU31uQdHyLxWLckhB030VTGVlVErmC61
T0nnPUXd9KaKZPLbop6/KDnWbNqi7OIkFsdeHOIYgbrwKDwPRNTQqi+hXVNbOp1Y3i1z+RzdHmGj
2RcvMPH9She+0Sb4RZHHnLDVEhjpdqYlyRqdxiG/6ZohdXbaCPhEUdFdxYDYulcZA+E7yArWBuZC
0O9CYovgoXvsQTY2JODxxKn9MnQkVACVq7vHhKwk54E8vSHYZp7HQgPbCCVlgW11Zp8wPcgMOeI+
E9g4BhO7xiMu4eiThT+o7jHOCc9WjYifGjKchncaAuz5C6og5qpD3LorsAUwg9J5T1vzbWLUqiDi
GIRcKfZ56JWrZWsFLUK3qR3uu26O74TBdnNwpumsnP4yQ4w+BJGbXPDL9jSl1InGYnrM1rLpC9Tl
6lIZQEVW1/Dqp3YhvwbTeJ7dD7osvxWwsfZ9uoyHYMg9A02qyr+6ZC9e4CywfWEmfjd1+UCBayXq
W0i9+5rFSKexrEicOY3Tk6gF6EH9UNlS31RzP/4IqCl7RJqllz0hS6eY9QwU9bbjRtHGI4Mk+xEr
F7FxYkTmbToM7kNZWu4rKM1kB4YEApcWKAVuLNTxnAqkaxqFbp7KsK7CdUsC4XfbU+WPAUX221jb
yF5rEWnflTkyXEY7NONEmdV3kDmdMxgRIz8jFxBPKALr/KaoJpWi6SmFy/LbGJKNNiP15pUhsa14
SKddUgWlfXStVHyWUHgvwIvUk0kewk0RM/NjMht4z1ljyfelv8a+zFeOkZfP4Zs7GOzaJyvEQDRn
qDPwnPnK9tx9wFB8Y4XSQlJoQzPBgQ+lSTDJkP1IFCT7xSbdKsbpALHIaMMkpZcWOIZl3DIHYeqJ
yZo5kxtmC+ItA5n9dTVUkFA11IQsNibGOvYHMznEGayPFlA2vGbHaeWlSYbsLW9DHroyDJ2rkHII
HJ9FKSJ/XQDIZ2PTdwE6VNto6EAggfBgskG/MMk15jvpspS4GCRHMMssE3oYg4G4ggHggbiuaKFC
fxyzkCAtIx2dFZ7zdNyFjZbhTVwY7rweinG4WGhQwqOoSOO9IfZiYYMOIVcxmigfdEkWHnkdxtw/
BHUsq5cAHf6EeB2tR8LclRCFTZHykyczUiPCxguT4vvcjV2tn4Ipdy9guEemJgHnvouGaG+Ixdlr
qSa/smMbV7Od3zkL3TajO7XDRMZKcGbE7Bvkid20gVDEyLAlOcVIpet1hZZh5IEYGnKo3LpAf1FS
PjjmLSke7F6b4MHkB79u2jjYdC5D0jarhjdl9fUJ4kv4nLR1t07bEXWyWbnhk5AhJi6qm4JvuERk
M6u6umFCodKdI0Si96wcFV9r1RHsQxqH6O5tlOp3CvE5MtPIeRZjN9W7LDbGAJthyrGcd66bIghL
8gN0H+d5toaYrxkwc7jRc98/Tk4yVgdrVnSIcLo+ueY4LDHnM9KDPeyE+yw2g41F//G1snJ9mhkw
3S+ivK89a9pBlUQPrStyk4pF3iBkV5DT5aleJINru3sK3Ti1VnERnEYU1l+5MJJHIDzZZ9VX0HnS
2qq3o2NASOuagIBR4dWfYQiFoSwlidyZOe5J1eCCqqbIY00cN4m1MVtHbGvHu86A0Os1O3bUYXAG
5obEjoA5vRon3BUpetQ1sIDyA5D8R1cbzNw6K87xYJokM7BOzJDwM5xKkn8gdF65pf+u46G3+j3X
1EHtaJY4N0j4yuBpO7JtjgUk7qff9YB/4+r9u5fB7qxd2PGeh4z5jy8zLHlRkmQyHoC0sH/GAJGs
67mGnfHvX+eKvv3j27l+v5ZgkUtHSD/3x9extGF3yBWIv+qL/mtyveHdbqEjCGeS+daTkcbfs4FZ
CTu03Fb/8Or29dP688t7UPfI5/Lobv/8NmMijg2cVd1BNHG1RbfRPdoqd7d4ahce0ja7qBqJUYq5
8Es6l4w5qCYGUz8tVBfiZ5kBZCO7Fh6FS92/TPeTR26169SMVUziLX5GxTEVNsY4u2vJJktXpbcE
jLWikqWNvvn3n+df3xCdsAlDTJuWsvGF//HzXFCjegCmqsMCVR5NRBqjWhnKmNwafMaaOz7MlPMP
XOO/vqhjuqYAtEll6npXiNrvn8kG76EYmNDwouFy43gOtXTH7DAEjDjXcNv+NZ34myfz2tL/8Svj
xcCu8Qb5l4Sw//hioXZsUnny7jDCT9/Ixv6cUmObm1P3D+/qrz8BBOeUIUoi3hOOvP7571zteK2s
qqzjAqAyLq07YVUBF2dhyf6fgKB/8/mBR6eLpEy0ER7/6UsLU5JN5CKzQycYNkc9JQXE9SiEZKGd
3gfQb7c7zXiRrOpobO/SsXfEPea8NRdR9ElQL9VfZSEyQBcTLPvpZ33Y/KwV//2H/5fPxLJsHi3o
KRYfi7ziEH7/mYSGCLumVPEhhQrqHSrVd/dTOdEs/cev4/Czl/BomYOAbv3j67h11NZh2EeHIqAZ
8Bu2zsQ4BVl2/Pk6/03H+Cc6BvsAj5Pid9/KX6iKTxx5ffNHquK//tr/Hg/aMINt17JM5Wiuiyvr
4tfxoLZ+saSpbcxz/DnlEE/Kb+NB8YuULlQNl7+iXMfmj34bD4In5vESMIihUykTEO1/QMgQrsVj
8l9nhadM2I5cYiazSzSQnBh/fIwQX+G9FFa/x388r/EOUNyOilTpPFthT35ThLSuhinK1hKJ7o4Z
4PfJtonUVW+0Xyb1ICoVuvRP2h9vlUJj2nST2/tkY6A37OriMa3M9oTQNiHqAYTYMhBSgvn04lZG
6iO7iPZFa6hVGFa3XsUqvo1pKuZSvpW6qrduPz+waf6eVziN5+uQI5R4RzUw/yU1iJ51bp2sAfdY
GvV7VNbQEYlf2nfz7K74DANeNRze4zbbGwuJv1kCo6eDDLXK3fAejJn2Y9I1NmbNysJysPZVisxb
Vj7LEbuyexMVgTcxIGCHQHDL/BLo8MmM06/wId5SsyOzcgCIdDY8gQYcCz8r575ZRyRRIPwW/QMo
NvxSqbipXGs62Cl6qSWYSx85ANqHmiW1RvMzT2zipdX/sHpNCYtQxmoc7wKpE0RsFW2iuk13BKTl
bCRrvH1o9NfG1AbfHOLu9q5ovGPUsgJvXGQq5ai9A0t1bteMpXTnzu/NpCOWdQuVM5PNtQ0Zg0Qn
p/rWu9o4B+5gHvRYAYbt8O4umRTnJW16SJDl98Tqxp2ha++uQW2xHUOsT31ikSt5HQMh7BUboJrk
YOi6Odb5ZD+odvmsiG9CdjTVd2PWp29Q2N6EQpgD7AGelk6Qc7SAJ+u0B9oLMmJBdrhOB7pPYGp7
76f8FeepO/B/X7qMSC4smN1myM1j6bk8ACrN9mbVQFWjk41d98nr2uSoCCFfwSxAHwJ9zccukW5I
NwnPCb4wlqZEIDNAwUKX0vGN4IfWXSWewWAEG4/cwHOf1K88r/r7RDLRxjSIFlts5HZ5h6R4qNqn
wEAfPE8bt5zylbm0L8kiUoYLA7UvyK7VZOCiJ+KCUMaWHX41bdKO0sZNnHab92X3YoZX0bWrHuj5
n8iYvy8cGjpI5HI9RMLFyJc7ekU8hsaLfK2rk581dr50gpM+Jls0nJvqXlwF8JY0DCgHaXanWzvb
lCIcD3lsYWflGbwLu3Y4UnbE+5DcLUZBEceZbskBqkjRYUO6VlnjnOB+Jw9tItTumiuGE7N9sVB7
POYkTR9HyIJ7q2MF2An32WIhyARyyF/IwIrXfFWEq8t56JiREQqqeyP40pT4BYLUrm+waITHZR6Z
aTIAF4xuqUT8Pmi+l+RP+WFJCetOKClc5PmXcLpe3ZMgVYmre9217hGijnNnNgEOk4D5u6vH+DJa
2LNnLtU7kx61JzF6+QA0to87yMTu6JV7ZTJkWKHsugRphw7biBGAIvDcdqbGFNkGHtSPEElpN5Kk
4EKm2GPaL7JNnmHKmA3TBUli9K9zq93nPuy9fa3m4BWTdrA2TC/ZysFkFAI76JB49XyqPRk/67iq
b8KyxscUycV+yBZGAzpvll3O8vMVQvqrGSFeLsnNwu9fQHyZ7qtusL8PFCUPMT5A36AcXVbO4HpM
SBjoKVxsHub0bwjrxu+kAed3XuWMRw07b98hr12LAO2A4WVs9pfwVYmsujUaRaRbbqOlBLyNH1cX
oEbzmQBLxmuniUAkfrnX2KR8SgO/GiLvJOjB7sclqG4Cq0vuIqj09Gg9odrxsMtFV78WZg9sGnwa
W4y5Z4vamH6PdmKTtzMfZ7Ikz6RIo2MZ5+WBPdNlkgW4cVVYPmJsMOdJf+EeMg49epytNGX4De3p
srcy4ymc6qsF8aqcs4vuDlGd9JVCHccQo/cLO76ZVJQ+QMAuL8id8Caj7kVm5jHEpC1bOZMK/Hkh
Do5nV+MHkkaPQKiWfgDBdWc2aXMzGR1Ag5x9C6JmE4elwykcXwNRwWBqxoHsp/SFTcZHbCuMuAlz
EqFBhkxm5WzSIRnXTt8um5/+9DxIhV8W0HrpL3/9b7AzGu4wHultO22/KnBB6wwL6yYMFn0GXIxw
3h6kgOTihOM3I+xJMk2KsXmyK/VDtsk5H/srlntPpjQ597a6Gyj+2NGnDu5zFQH9HqN+Oyjm1NJI
HrzJqs50GclLxSJxA71i3CDTeMmJnpAGfA4oMQ2DbkN/WRacTbWuPsuJBwok1tNQo9tMpnn0i8y8
XYblDPhiXnPbJc9t19iH3jA0Gna+aQDfwdYZQnyAOUdPp4vPwl6+9V75PniIi1fG4kSbzPYYHkJF
QBFaxMcpCO/jqG7OykRgFjr2JbZc4rICbC1lMdjsmhg+szRnopB4zr4d0uYpdKDrLVh/dm7X5Xvw
El9J8nnMQRv5gR1s3E5+mwkaGIX8zLEzMthEYRw78vO/y93/q5gNYTpMFv7VZv6l1oX8//Uj+pr9
LQ/u17/8a8Xr6V+oStlc29S2isLyXwtxTwIZBxEHvdMR1q+r8t9Q4uRxSIkSyuNUt22g4v+qeKGM
O7SXSgOSk97PP/oPKl4m13+seAVVvaUtRCSsxKE6iT9VvLaXLdXIeocYsoBEEq+Fo9ZqFhCVMdcf
onNgV5qRfhlr4sHca/JALoLO98YkOGDlsz9huhZ7CKQsJ2h6ey7KnUAk9I4FGj8S4RTISbu0/qg7
k1hAUuoJc5vDW4xq0wPRMcaW4Pmfm4Wu+dRFMO+mqPUeKgJpx01kVuIjwG1GVpVwoy37KmKL+jN+
4wwRLyr4fnS7Q72EWAphfMxWAaeg0gCc4npf6bB/wzyrP1PD7bmLojnYNUbQb53CYoKeJdn0GcYi
eP8ZOb60ie1LdyKsFUzFntkTS1/bLHbtVPd+aGfYNmJ1B8Nt3MyYrPdlZFoo3zmqxlrAxuVMvB9d
MFg6YRi+Aqk14/kokmW1BHH1POD4/x7XIAw603COteqfltbUr6isFZHftSDrU6ILsN0yAOwZI1fG
8dk03iaIiHXE8ZoM2FLmad2VdvrWkgd+hGbeHYvU/miCHOJSGsc3cYShNfZU+5ih/UZE2OI0CRZT
rsLUi4HDAFGzg1Cd6rgVNyFKv2/E3mHfnlpp/Bhmtzvn8G3fSobQZ75w3qdkGR3UmAekKW5H2PCI
GpUs8eZm8MhN9YNCBXKLG+FCy4YhP9bpdQoLRHPMR2AcSwahjulosOaBF3xQRvEocjvZZgjtgTL0
5hsmPYZPblYzBh9Kv+pT68pgb/cMxGt/dDRvPbzyOcJOroZBDhU8PCc5SSN4Id1x9CUC1Cfmwd2K
LDxk60vkfJkAcu97QqbXKK/yKwYN103D/QGbp8OkZI/ksActWm3P9u3RbTa5jL7bfCRgfItK3lrW
kBzYzGPxCsybqjPzm7Fc9KesRPg8DVZIoe/kL/NkZxQoYG9GQFXYvCddgz83+vVYmfalrR0SQA1t
YAkvBYYx0fTVZ4swTl/BTlYfVtu+SuzbxQGGkYzudBtNWU89aPPUxqbOnjNSo2ofXuCyNXI+M51Y
pm80Rf++yKg8GUpVD4BlvBM6VbWdR7OhEkg+a+5Y12qbXTV7BNlXyCyh/A6rxghPspkTf5RptMMm
VTxbkA1vI95dt5bGAN8hQN5OclwS3qI7D++dxRKg+h2cgbO10AVzX5u71hmHlQxMemWU5GtCF4sP
taQtlZY06j30PLFFdq4w3aX3S19+tNYELCNIKB5H3zY7Y9uU4zknKXGvahZtZAE9RWS3hFZhg/26
rveJsjT8353VfzMSdP7U519PPfSjnNOWBIcpFIfy78dSIKM8JH4cB5Cl7Wg1yBItQ/W/qDuvHbmV
NUs/EQ/IoAfmKr2tyvLmhlCpJJqgD7rg0/dHnTNzNvY4NNA3fbMBSbukqsxkmPWv9S0wYwkfx7K+
wHsW67HALaPK95yQTbKt6LW8c4hIEAiIoMJ188AAsUg4lSVlfg6HBbPEVEpeGM+V71WTtzvlj6m9
JYTqFNuua2FWcDuWj+Gf51n+ebZtkkPcZXguvKNa1gWuEBh0xsGmG5cclPz8f//ooNL+tuIv9ixn
kQ9dkKBsPn9b8bXR0SohY3NvufFTmBfMA6X9ZATTJ+O0bGVVFOa5wBkvftuD5MMshY8B0x+fhrYm
umjEbmtt3TnBr6rniCEk561Nm+XDL4Kn8TM0KX30m/HggAFu7LmZ1qJvPwPFgR878h7L00nkdJpK
mf5saIIB3WgVt4lU/xEZt9kwj8S4YKnkJLBm4oOUA/GjFkBlObS2tzZRGghhS7GORqhLg0dw3w2n
gnDpGH4yoyo/NXfQ3egRxhMYVu5cuhDv8hisQDJaxb7qRv+deWl09Ao7uukiHR75pb9rZ8qJM8uG
ZzWM8yYMu2A7F567H/t63lfeaF8EKatjnAQdI2jwiTToiPhJM08ZVuMcqzXfNsfjTCY7SRvSnuGV
R94Xs31uY8hhD+rTbct1/LUTQDRjzLiv8J7DTQPv+rdnhvEm7aQ849BWq6l2s3PtIluseyXcV6Nz
xX04B8aTrUZBaCKM2VsCs/oFvWx69YzKe3UpNr5BoWxvATm/kzkX1sG2nOQSNWZ7oMbiWJCf7IYk
2EAb7PDOq6lDc7FoSxjH8WEaC3lHgrBvVhRip0RdwBnkuoc5oZv2qRfMLCHQY0mBPfrl1Hb0XEUO
AkyUvyQdV4Wl5okYYKfm4rMw6/E624LgN5ViEHLUdC6Z1l4KMso7KMrpxXfhfuKkD2ihtmjcJm0T
JGuzHeqLX4/RvTLG+sHzR7/ZM6zWB7fw8o3r2OW2bbHuhMMsb/2YVFcuz90mwR+L4mHXJ/I7hIyX
VSRvIo4r/hGjA5nF8p5w91MOYboZ8wLrk75OyjP2pMoYobJNrDVLlVrWrNhj9YqWdcyOrQRbrGH8
DpYVbljWOsrH0ZbQ2hw8s0xjc3c//1kY+z+LJCuFA8OBlbNd1tCgTVhn8lTMLASJ2WG7Zr3Vy8o7
LWtwK5zpVI4Va24tSNOVXA92YtSs6AB5Hwe/qc6zafWfLnbzTYXBA1J7K3bFn40hW/YI8kqoCrmF
5iOXPaRhTGAcfNoCUnzTyxbElR/LbWjojiIJq/GftVm596rOnWjDHTv8pkABBGRQWdLdKzNoT8ZQ
1zu17JM9mWyatJYdtKzj4GusM7rFXD7TNvtUWp8xhw+soVBbDlXETD0i0p0iwS1bOm5C3ljC5skG
M8YA8KnxyYsq3iL/z6lBLwcIg5PEvBwpgj+HC+mNoCd6390ky7nD5PgYhZRwAcUkzx/lQbCF1DCd
i9wCABUa0zHinr0ihFDsa44+myEosmPW96Jb9UEC/XUInXVJwSniTC7l1RUqO9pdhZcSD99bUsES
xdsYPJbaiopVqxK1E0kb/mrmWtwmCh5+Dnk/3FKl0xcDkPJTRF5FbWKz948dFaOgI4BabArTSSGP
hyP4AOgud55h94cWVM+VMx0K3sgIdXGsCPdW4Iw61VFd3HX9gPWlHv32a2qHd9OrweQGxtJyQKQV
jklg7QOQ6s9+zA+ecWs4tkbNjTLJvAGvY4DhoVZcvG3pGDd3ruyjT/j0qcgq78aw3l1TvMznA6Dn
c40RPF1VJkxL20jBLRWwvfBEDQEMO6vu13k4ZYrOcxyqHmAbkEep+QW5tf9pV2XNazwzJuRAGtu7
ccQjsfKoPiCMDB/ojSJ6lyJvXvE1Y8705FOLfB7bwDiFzTAeQMdMp8ynjWEZoCNyNV78kMJF+7Cm
4DYzLn1GwS7WU2WQkUHjO5HZIPg7Mhl4SLSQn5kNpANrn2uv7LbovmKKBT7rvlNb03fybVjJaM//
8mXie9jyHbnbDiHgLOqQD7/hd0iDjZk+GM0SlaI4XuGr4xS4wAmd24KyjfC4rV0vwwuMCIwn9Zcp
DIowugoKM2siIkRtZtUuSDvEfgZ075WSzmnQqgfxDAs/tvwePRVQQJX589EXCdGTcQmwBhzYt+Th
IQWH3ok5xO9iDL/0BO2CDSznghRV5RGCSsDTDrV1VSLVPhKM1ntWHg7WkTRfM7gpIMSKV8upxbvT
MK4Y+rx+A5aXvUXKbH9JnvdNiFnkMHTzZxmar7YH047SJNc7uk51Fd54n4UAcycF0bYHXLMlFDvT
GZgnqtqaA/weykTgQ59buPjHwOvYdyPQrBQ82AdE0wxN3tUfqcHn1JwdcZ6QCZk2etFP0WKVjb0A
ncivlmP9XE4clKd+Xk+J8933SbQP4XDvPHikl7Qt0nOtcSye+9KoHsl1iGfoEGpap9XU/RokrVBr
W6rgUjYlq82A5v5EYM9jcLLE5DKC0DsfAtW+rej1CTPqlHkSXS/d+GHr8bdC5crTAUapX7cnkVJm
nwWKn33IoyM+suy8kMEWzkP9h72Mu5TryL30FMOY1p+3YKvUvo7oDxeRbZPloOxjCkNBhot/fzJz
/73gJJiCnNUh8lGpd25Nwty2ev8zaVJrDxgsW0VAInvYo5qnttWmxzUUw+iqrhQZM/VBVdN19s3f
i36xHazI+tENhn9PfRfbY/2siErQz0Cw4lHErS4Ix6Xzd0bB0MpOgteiKzlU9+zts0BoHId23Adm
A6cwsae9uXAqSfmbr4SpgLSRs0iAaJGmTimGgDEiMN9RUS5gRoR8vnMMrs/IE/OzhzmmXkuT+Ah+
jIspE0qkKn7mW15W4ppxZQc6E3tX+oQEgeq08zYOiIZyH/qh8eSyVd9sqxx/O/IrUkR2x3oiUBrP
iQflRTuHNpUci4zyWoAAccwGCKnKIx+gdLYHBNiwigjuGJMyNoX7DUA0z3YhFkVc9ZrII9MdC+E2
ujCrme84EJ47gRPX7N8D+VnNjzqBLOx01qopRfY7c+M7KYsS+1ptPvhu1Hzw+WLzomXofpz9+Jwn
Zf0O6Wck7ZijQhDINEiv80R/zK4aX7witD8iU7pvHq1C685UzlHRmXJiJ0guXh4Z6yDJYE1EOcQ5
g17FLIuPXZvRNeEzE+yxsT6kWe09wsbTn9DrZ0KKcXFsZwevfuY54MowCUPtItnFfupP70SsPAZU
hLIWt1ByiB23gAupm61DFhaLVjg9iT6i7dOogJLmvrPDVJIdHHxLKwy680bnkd4OqTUdOEOapIyr
wEN0tM3o5uZlfXSaftrFec/0CsLVS5ty8hsAPROL70GlO214iPOcnt8q1VioIvybfA9i09CAyiSo
y96bQS91WlMcr8u0AHTNIrrCmD7vhmXDJWRGM5MlX3JD1yfcUP1eRjUHMkluH1gdd37Ge88hrSDb
ua+rU8aaQcxUA2dz08oX6y43RsIRSvIEytJkwSbnwMii58niW6nWXVjwFUNXQFaPSvtVl6mij2yh
QMWlfUgkK0SEP3yjmAHyqKTFoRQE6jpybisrkNBRs4rVbBwbyjAl8MJe0hVmRdG1JFdehsmXizCT
SfMY48Sxkujcon7TADnZ275K3qlgctZLwGSbu7M+ofCVzKPCR+7ly4xx5LVlzLDyjKi4Jgu7pxgH
f4NOMG/TyQWXC6SCuzmzvHOCmYKXILKOY1tZJCWGjAODKn8n0Tgx2cFQEdjaWBMrs+qVHWGjLKFe
fIu8kh9l6rQ5Th4RPcLRCK9kn/Mbd5Xu7DA8OZraQ1lyPWW/ZuSO13CA6o/CW+ArdV6dsbpm3P/q
7FBDkDtATsz3ztBS9En88aBSsnWEaMmB+yTvnHAmHJ1Ze54w+6XjunbrDAKY5eC327RA+0jowrPM
2F51mTxXwj1N6qADXs++DD+wia5pkQoeRcnIENhs9oo70Tk2Ms8vfqqwGPIIgtsGVWF74/+vmV78
n67C5F4DYflYD8zwb+6UMStFFDk2EW6t1dZ1Mu9nGw9kPBq3ZOBAqD5e2CYx1sESrFZL11C1SZLa
IA0u9dfCzmy3ueMyoSdngtF/0SvRdIj89KHZg6pMZsdYlX8UTtPr4X4FEwKhrrzglLoVRC7FDdH4
Z4X5f7VJ5b9RJs3yKFMRyDZ/ETv+N01+nSQ/ui5VdF4nf82n/eWL/6nJU9LimIgZbhDYQCJND0vY
v0Jq5iK8Lx4i3GmY8Jc/+bcLxTLFHx8ZmUsfj8r/0uQt/x8+GhKzJVR03I/0nfwnNHk//Ls65fF0
O8jyIsArjG/tbx9LM8oGJLJh2vlOlYjdhIK3HlGnmRoRgGDIV6NVb1tpYWwe4kizNhD8It81iclY
dV5HWVboiUs5WpgHYfbxtEVFc2FCmD9R1mQ8u0vlbTxVw80ryoR1zAcJ07p+gdgtw61v13KlSpV8
M3ibScIRG0oW9S850HyXv85xSYwabTs4I9TBmkyEh5eAWrkHb6oKMOvzU9z/Yb7C2SD5uxKwyrfk
+luWNuzfU+BS76RJ3OHJn+IORmeujXFfirG5SyvNsLEnXvQUEWt6J0AQPwGoQWI2RfbFADq+6rzB
kqNRKr/iisQLB0sq0DrsSSPAi3VoSZoYydCxx5EWqTILtQgMc3mblKKYepYZmzOvTimmc2x2uAeK
RDBA40pt4RNZO31aE/HzrK8gDTA3kB+J6KgPUkk3iie/Rg+yM73FefgdV3DfaaK0AW75kGZWKaQg
pB2xdJu6JqNIrmQr1lGqKbNYnCC6GFiLKmfdeRkx9QoyFhcdRAoxpZKpXzkxmsC0u56nptwmzizt
DRZH/9pzI/6Rlk7BhQS69L4dNPwz4PBMys1Qq8uMaga4jcKLVVHMgtcBnXtakzTsVjS3INhx8I+v
XTCGpyks649ERYp9iMwcd7gprZoVgyxv3YIGe8cBwIHTXg4ctuLfsbQNIIz8SRCuZYyXaaVdqMxL
fVoIRCCM0gMMlP4bO8OY7MAATQdov+He731NzDz2IDjWPZAl3w5kDbjSUi+dY4sbKS7nEnm9egaC
WP2ITTvJyMiQZDp3MR/FNai4+mdTcN1QIbITWr+f0mubtfWnBfmsXs2UOMh9lpXtk+Xb4c1xLCoZ
GWyFlwwQ9q1ImqYBW5JYYh1OQUsCpZxe4UUW+MsL0/iF/O4yaLes9t3xZfEFN6Piuq3580qE47Mq
S9L4MTv8tGphIOvDyJTXWA0GiAuioWzJucAYhOd9FZOIeg29sX50u2o+cvhdnlvZHHw8DPCCa4+4
FcANk9OTOzUQ/IT8inm4li+lxpDxAOV6BzNV9MY5gxccBwIsN+DNUHCFk0/mW9xo8x1omE3TD63n
+zAqeAODvuK7tmHkrgK7MeMVV8HRIioZxIcZMQPdmvRlLuaPMZ62VoTwWoz2zwqXb4qomrVfrs8l
dO1YzvQxDVm5aXpOJTGH2GdsKPUlgXJ4kK5DhW+RY/J2ua2vYwAV20ZP6g09B+9SrDpni0pKBevE
sQQcnofrXIOjL3Vd7qQGyAV6jyiiTvZ83zPXcQB6wzhRMWIn7b6HPk/zgh+9hoIOca58eGE8GXpr
w0IGXWlKcpv1GBfNJpmXdBPwINPiMAU6cMmXORxkuHT9IiGWvMx+kpxNadEI0XQ2UCvDEeO7wYNi
7Rpht3T0Nk3/QctxQhueAUplRTSPR3su3OZWw1DSOypwGOYXM4UAllFTWUjOmRho7/V3TbNUFOkS
B3dHR8K7WnwxIBa/ZTGAOC1b1ukhz/HohnKxMvSGK1Zz2LyYnciuc4A4R0pkGt6cKG4vgHaTD5oj
s3xFV/i8hVKHuw/yUGCsC+o3CcE1HGdVCQ4tLrqfZrOg1kgeVie2Eleu4yxvvh0j9rkctT3MAK5J
45UCGdqGSLhod6OsDHi7oRZ5xhnJoaz4OT3/0Id5Qkomiy282GaofmkH/t56nDjyzxjC8WsXh7Zo
m1Pk0Q9U8EqZQC8g5W0KOuu6vVA21+Wq6MTOSb3OPFBIHVLzgJMhRZX0XNovCTmQGUH14AwOKOL3
NOrgZDLN3FhKqZ7i4YnFKYQ7DAm0AJKcptMmH5vmg7k07Yi4O4KHrm7Fq/Zp91h5nHFBglfihbx1
886VJ6AcIOewCQzPwPFYx/Z93QXlvYe19aXRFDmxbHh8fHwFx2anQUcVG5UOV+13gL+cyYlp++vN
Aj3Ut36bDbbmM99hYmO+c6lETQIdfHQTmjsblFBXnlu3OESOcFkY0PqfWZvaC90p2R3sDbGj/Mzf
TBGeKqIJcBRXObgHlDGQfjujqdILkrf/pjMKPnNMdPeSxpJ1Lmiw5qiZ3igjgp41WxbUUSqUIHw1
r31sypca9OXG0v1Hjbf/uasH5wYEAkMZUPxD4xbmc2NWxi/G1FPEbVsgzdhIgjiGcApBBIyeCzP2
b36VPlfUKd+iSkcbqUvkrwEAyI0IkrWOHZTC9ahL+hrZ7+Zkm5rkOVcdL1uy1mgui2AUTMsnIbfr
HymUlh36auzC/mWKpIjYHxJi/6ijHB2GfJx/5omVbiBlZjBuuDTdUyGkLkUNFQ1FJ/1Mu/ajqON5
P/XE26KURL5Pl/CPqNfYjIJRPqLTlyCXXOjVQ1LuGvy54LUCMLblSHJbI7+Xa6GUaK++WxSf0Hvm
fBVYYgq2+N4tWsta0znmcc3iAnrIOfZJ2j03M5Pu0miTayjNdtstVi4aqbi2U75p4JRz7L3DArSu
YBY+u2wtD5A+bFJ+4yjJdEuMRxRKKHomsxF+Dl5b/GAqOQ5VlABMG8ST6cA1w9LKqIhWPf+C+dF7
sl3qRSh/ldZ+VLZgDjEFd3omCHIu1UKpJvKXXz1uWz9qHUYfvZbysfOt8Hfb5LbPrsxRYl0lNdKv
BVdq5HcQhqlB78v8lk4O9xbX5i1G+iX/3aoOn0RH/Su+Azdc1cTIb/R/UsXkKL9JwVpb9g9v4NC8
6bI4eQXikbS7pcHauJtcHKZOzCBAuWOEypr4JMQy2hrGYxhhecJonHlvg8ETWS5DNaaIYONkYd2P
VNajlriqo5XLYHnwKOzYI+Z0H7Btq4eWMDD8/LhPT31jNmcvkTyrxAYzCOq2vrRew2WfivH+gQPs
2KyacEjeE5JaMV00A35LyuztZzObmjdQN/UtVBnmSa+d74Leiwew4I4zbdxmEWLaNkXq1IX/XTnO
ImcnQt8ZQ1SewqXOowXCPazbsSOETtL9J03nnbVkY/WPLumg4ZGLM7aEmocvwCRZsAtt8NuwgELK
R+bxYZCd1f/zpyT/BODPaYaPcPCf7Qw/+TiPLmUDFfZYsiL1LVjs10lTvLgyf8yTIt1MeawuYcHE
gukarezSGUAFUA/HMFbXlCPYgjc+irzwDRoEO0hUE0tak8yiYdQXAfd6L2ouoVUtYcXKexwKr75y
eckvKtb5O+k7N2OMooKfUs/JHuf4gl8kV3FHfBDItcq76TNItalPFeRzEr+hNRDKK4WVkwdiCtcR
g8GYE7f7qDQRlkt8IrAtar+u4M4F4V3ZxBga2bl+GZbyfsVx1PbbIZP0K8GuDdqNV/Ber9zBTsVe
VCGYb1y7O+iv2TtzNjBPdBTYu0FXIXtbMrxaMkwefQAVFJv1821O7e6X/WfzbYH0r3jhcXmMcYTg
p9XXVAXq6gP4fkYjOltEQzwK8AbvR1Kl9O0xTEhsLA5IlLCTMacPs7DvA+mPG5MaJQBSiGu8z7nL
nNAsHYmNpM/m4zQ0ikUDame2ynvhvpuxRfC3bzpmmMwbxlXDmOqnYzTdYaza9IrzuHpIi7F5azEk
fqvGDQ95Ka3XAXgPcrie4iPUXkbjFgwsavjKLj4aoTMbR4mT5ABFdYKbZyO6uTrpPhMuySjObdfj
87FpyZEe3i0KC1R24UqQHryWwXBNrxKVKzAWMEUnnEP1gM8/6UvULbtefO+UFM3wQeHVwXqvFISL
LPIINnCWI2xrVTe6QmdQGvZyurH7bO+aKjsEbgk2dwQ39xjzyTwQbS2/AKYUn8stGxUXaFq+6YEg
Ppl929+YzLVvuN71kTIdIrQNG/6aFMK8ri3l8icDg9CRGrmzMiHHV2GMnTmllJ7IaF5lP4oqb5OD
6NL4HrstP4KUte/wPGTZQ0/VYNvZns3jghZOlOFmgGZgKpX3sGln1z3HyUSbM/dK8zlzo/ARgvK8
dYIZtBIDbZDMWcM8D8q7rU4qpdRh482Os1iSvfqgusYE91SmBlfTJFs25bRwD22neGs4xpsF0LbB
HdtTx470I5UelMcyjRh0kgjxIVfRSuVskq4jBCZcqO3z2CGJSuWBJWkzn9YFU3pbLPIJKX1iBC1M
wu8isMANThMiJsdIqqIoRG+xqnkyPYYk5n5NsaRLov2TTMEA8NAgbb0U7nKn6MBRYI9lF1+bgQVr
qbfsS+F1VH2ZQ3kYpK+OZa+TBoBBMb0yhRTmvqCa8WgADfhEtE9JdHtzvjATGnG02xYjtd9PZBIH
f2TA+Eed+a+Wqa7QCCtV/e7+x/I3/6xq3dKW1f1RWP79q/9GYpYdCmSl/7u3FEn+R/tXAeufX/Av
7Sr4h22yuuJgQo3CPoqm+S/tyiZbxW97VAa7tot49W/tyv+HK/DWcasJeVe9kNjV/0xQOf/gKxY/
6TIx9dG3/jPaFWmsv7mLSGEFNr0/DpOdkL+Sn/Svzqpm4DxHDajNvMxynrPYmTd85MrTBPN+M4Aa
2Q9N8ZHIYuI5CQJO9kVxEY6L36TjP86+DC3vmlSOfMuSJGW1n72rFZZ+dMTgkdDXItqErHXreZxg
RqCgY5l7l4jabPg/qBJHSSRgH9Nq8hZSaoqjwO/eEkY7DJxxotx7vjHdACTmmFFNY+00ldwhdIsT
Y3fx2KuxOTuqrE5gjIiq0L1xjAcNr8wShg3dkdXjXBOuOWc52z78AKd8Bi80m0dCmcaZ8zXxEJTk
gXO7B0iJ60H0Aomg2Reu4Z69sBo+m7SGF5wZAbGRxtfpa8SF4iVy9QhP3Y75u20mbCjPGS05UBTE
d7hEGVdeUlSnVk0xqQtPksXJWmeVqT69mEXmO7hbQjCWlU+qPPHs9sGoKxnSO5Dqh5DE6A5wRsk0
wIHnYMIQZ3QxuAUcRdBKv4GWG48RPkf4KWk0/qgtt4ANZ8CDXSmswFgSJa3HjRkU9S7yHaCucUKb
lpq1PnpwEne9ttOFPwPTgsYve1fji7/YrnKPmWVB8y2w4+FXycKD6F04+JP9O+mWSlEvoW+CeZ/T
HjJDQo6o0M5pgO1M3t2kD4XE5ASXV3ExgaJc+luNlxhzneU/uZXp7wbbbr91l6cprwaslB58xs9a
WuOH1Q3eCcoMdkfm2g80gYmXkSarq3Rl5hLdYAtkVmtmxpZxE+4R9hZMXH7muScQpvoAGTwEr1jW
W8qjoZmg2Rcn0Fr+xSmz8eR2HbgnF+OlnRnj1kLi/6RCIH8uuDM9wUFLxkMlaCpJZ4OKPC7pplhl
7gQwlaLI+9ozgU77MuiubhvYF7eh0ca0DJJHUUQ9GI5igfY48pIGrQfv2zJC0JBxTyJDhsN0iejx
Lsw5+mRwJk+GdJwPHzLpGYwJEoFoBS9TZYV3LaMHc+X6ZYA+OMAhWpewwwhghIx7gLFTBgS8ZSSM
RVzNPirYPYAiPSW2qR7aR4xl8y7Q2dYcU2Pj1s1nTaspnd1VsQFNbrw2TjsxK6xO5tQbO7+Pqo2r
nfsO4XNCLdkVIa6kqHXeIqbkRS/Urqr8lopvP7ngRhxhNTc/qdxs7gqvfcJn+DtMVbSObLnFqsWM
HP5ZNzvjfQG8xsd+u7awvcAa96i8YO+7j7jqAdPwwRXvRiFwEzWcb1epM3FdrRT3SZMrPgkLeJrc
JdajaSNgOQUX+3DuigtMcW/LYzi8sPeVV4NLF6kau9rnTtf3D51HZJ3wRt4Gq9k0cBDHxhR89uy2
wJUxA4LmxwH0kx4D09ywmtC4WJlzF57QNJJkb/e8ODRX5MYEM27km+SL8M1U5Dw4MNhjb9B12LVE
AgNffsOv6ne9lRl45DKXj0U37a3Cdfbm4JgQxxrraGFM4MBLOWQR09K7iucoevF5add9NwSrsXZh
tFD01W4oMoMDjagNlTnr+p2GZ3Lt3NR8CrJ2/gysJacl0nY4F0JQ/uZH8haJINrhcUl/13QldRQ1
uGhnc2fq3QjBdIsHhjkkIh0PvD2gQji5eWhwbJGOxRt0wNgG06KSxFwL5YsrVDRvZcswPVBJh8Yq
QDVFraYyKBrjXQFGjjFaOTyZnBjfDTKSJ7+AHrERGY0SivM1z0Osbllm9sParp3+K6YPYWuL8DDH
7hlWqL50pszfWxEraLhIz9xqnvp6kLSaB/JRp0187ylzvsehW+wD9NxbQ7w17Y4gZjSF8VTHC98e
XqD+DTtFIzEDg8lvjlRhGHemKs36bPNpuh/rNr9APMmGtexD6+SM+UeEU/TDN6R8bdK+uvIyy4dC
zs5nRweUxGhhTtQE0bN0H5OFvSSDRrbEA6E2tFUSvaS/c43xTFCtN5fzZowwiTphf871zER5HhDP
mHScW2MIEASgoDzNo8yxzxfzUzR3CP0UeMq3gALlra6n7p7LI0DAvJhpAiDgsVZehhtcJv2RWj/e
pIJ4xVPuxHzKln/bT1P71pWp2MWUrR2EVXs/rTHRey+KWfooudBru8zJtYJAXu7agGQvPuTspdgo
3w8j233dNjsr4/SKM3d8TEK12AGMGBk9COQxnHW8j5ykXqdRlL8ZZT8j/gfiMjNgkCuLmtFT7YCn
XpeJbR2ZAXxTGCo3pjXKLzcJGrmdaW564USfx+CEQ5OoWtP6l6kOsiuWfY16ydpKod4PPNspH2OZ
3WVOG9/b8ITjVTRH6IK4reQngk2arWVi2sZWx2X1wHDPAg/RpPMzaj+RQGZY/clUrUextRxepsz6
bnuKWvec74khxpQukEWMf/l9F+9Kb/EjagEpXivHoeF4DInE5rZ4zVp/fPZZan5EXK1YdMWQ+atA
cqVc+Zlbv/g6y3/lNmyenunMBg8R+LWisz6SjOjPoc0a+74D7gPtNNxNMabUoKJaZq7d4T2M4q+l
uY9HizAHDYXbQnCpGIz4UDbWkznzPuusGk+6ie5gpjUrM6NVMejHGfgzjqsn2fKQHPowdc8TVvun
ATT2Cm0YFaoMuyM+Fg4dcNfVF1rZHYQo3igt2qNgKL9vMjZTLOFGtsnTLMfYKcYHEn6K857J1kpw
d1ezp7yApcuJZLZkLkurveFOmV5kPRuLpu+uZF7ibVE5TS6VazxTO7idHI1GY4rgYSTjfdfSiset
MM3eLK3FcWgJ1bdDWX+XbSb3o1QlID3uN5Nfhu/YGPR9ZHnV96DEtAOcPXJj9Tz9BNqsOWDa5GAi
1MGJzeSSVD0N5UPSfIalms8TOOzfPqUL6zpy72tsbOfCYLsvYUCStgPARGtKQIplGtQSgxiM9JwX
ZIo5ScrpdxSZ42WmZgEFpzC8O+21LCRc67+KoRWUAyqmpZHR7QnFpDdPc46yuMHt/M6iyynzySFH
IUIP/rS1FRF+btT0XXizuhGnvesDu6Ntr1YbbRkcBzomYJSRMo7sUPiAmV04dKYb/FjOfT4ImiNr
lnV0P2dX23Jv+ulFd8kXuLLv2grv6eAjgl11MFCdOPUfMb5QlNfUprUjfnFmTSROjLiVPBcN6+qq
0hM2YnPsyaq7YTOffa8bd7bujMfA1Lb5MdZz4J8GUl17HJ8h732VO785ZFX9nmIf65VNCgv3SCeH
745xc5rxAFN/EMjwe+iZvO1mrpufyhlGQgmuv3Hmfr6ayrhKK3MfOUzqUxZiLbFNJS+K7DanuaU/
D5NvqtdVbHHzHukQekbjjQ+F6riCL0wlbt1n2629O1aEDjZDXFw8ZrPtYhNP32u+4iIKQzNnEXK+
a7sAyHptNv5Hzsn6qWpFe+F5heFiGZ3ekQMdHqTR4PLUpPSuSMIAqmuPsfw24oRLmlNCaJ2o931i
KimoysTG+UGpT3GxlaTMaXGk3tkVJxQpG+xHHFYZmCexV93wBLke6qJCi0FhTee1JBMzb+MZLZ82
zTp5w38H1a3GcbVKTMc4xT5HDKenvUnmxd1gurjjO1VcBcHphyA2HWyOvk35TYaa8B3o1PqK6z6g
cFr6HxT79Ee4mQawNthY1bqIE4T9qAQmQxswCA8AWhPG7Kq2GsyNY/CsdJt0SBWt3k4QklZ+VwU7
p3H3iBPkbMmySxodiUzrLGr3rFo/hrTrVqHoMc4ETrLPAzi6U9rtExHfROP+bsDQHKKyMo5TFtEy
TimAWScHx03vGB+Eq8Gri01O7uvJHFtEfnof9pGbM60wI3sRzvfGcsXwfWhpDhbTsdqVFWdDvhPa
lMvf2J3yDQbjg/AYVPBGpAzB2XJSLOObsErewnakFzGJn7tk1oyq4heDYwci20AXV9bdczsvcfoH
V6A6DeZu42CnyDlcRr5gy12km21K1KP1HKbsDWb8yUALTwFXM1BbYtP1vreZx0YzSEi6I9Nl2ldG
hClQdTOp7ILhPlDvtfwP9s5ku21k27a/cn8AOQJlAJ3bIAkWIiVRhWXJHQwpJaGuiwDw9XdCmXmG
7Mxnn9N5rdPJYactkwSBiNh7rzUX8PVNPBSAfhn9rBX2oTwzNiIbn6EabshT33ewcTfwVK/nXqZn
nGel70RivuTZs3b0ij2CETx9pdTUQJfE74mErA1vgwps24c7PqyH3q+xr6MAjNGga1AvtjOaOg6l
2jTgsLBJqg5Qh0BDYFKLaa1365XEhniiTZrERFZzfd0mk7t01KDgmdawtzRmtb1u9I9tUpBpEUUZ
BUvSEf83MkZBR2EMw00mkjzynbDyHjIrH5+JgAmOrUM3fN8wy+NAYz8CuexDv8O5nqzxUgwjwb16
fOtU4UhIlmnOS2sT/VvqMQPHcnHXibBaZp2WA8U2zdoLxDk4+wYXz5uQQ/XVsro7E4zkTnTufdel
9pEFBvgfNrn9mNXPc4UovnYWrOqYMCNtPbJtxfBmMEdC3oi58QohCzK4OShocIoqe5pcBk6jMaFs
Lptg+MaTBf3BroCr5nm0y2kE7saJrRrdYn8wIi8kvdMY951Ll2DlMg/zY6OpjnrIms8qJNRDSO//
qcy8eMfotC/8nLnDF5eDi0XwQp6Nq4Cs+j9oVf/tvv2aZET/1fqpu3vzlkXx5w4cWrA/f+hPV7ek
1+YtPTZYpX/22v7owknnNxc6nYfsmAfMNVzEXX8pyNzfXFeacIxwXFuozj514VwUacai9XJonvEv
Gv9JF25p533GGFExG/jNUbk4pkUbzv0BkhcXdpXz9mrsjcuaVqu6u++HUD1GQzdcm6O677VGuy3M
jlRZcuMrUIpYOu1Kh6ZvqyR7Ioh8eCbzJT4Eqdf7tNhsgsqYhuhW1wH1j+2b0YEpyz9PmjHcxnMI
lvktcZwX1bcO6QSe5tfUQYvltTxXngru2e3IkKn19qtJF+UZCTJ7hTExbwrS9Azj6DYts4GUFZrh
I3LPBzNxhA/ZBO9Q5PUbL+3Ku7L0HkctoQGgwpLlnGmOo6EcI2yqoaNoxJu2rYA5T/WdyLFtYjkr
Ecx13m0FG3DT912N99jS/DZMcj9UCErcprP3cZAyqhSe+mpMo70nKy5790iOILs5jF5cJ0c/RDjB
S08L5T4hk2ZHBgbbjOWwS1qDKTl75SPyESJk9W9kd5OMRleToYfrnRTBMdPawAC7TI8YrpkcWnB3
ezbjvdoaxFOpE0UtGOQl4HTJeoa/bF/a3ZAQrUB/6AH0dnuMap15K4o8JPizV/bqvw35t3+H9iAJ
amXW8bOe/K58/rwe/Osn/lwOaKIvMEhd5+F2PqceSPM3xzZJOwStwAOOlvhfy4FuLyuF4+EdQH3C
pIpW+p9Ned1ipQDPIv4kQwBD+w8EpT8iHpY3xmpD+IHtSN380fBrSPp6dqaUD5SzXI0klWwDJtFr
eC8LByYZ/2DkMXwJ38p/cFf/uPr88Xq8ICMAyH8L8eLzCAD9TZs60FL92YIoOVvh+zBXQKgVHqpP
38E/vJJhLivZJ2CbxWvZrsDk+OFntn+UyvaObZhwAmBi6wL9U24TPguoWj9QP1eXaRAOl/1MuENm
dECW6sZ7JSdkOKOxTA+5ZzE1w82jX4hJoXBM+9ZK6YmGzVcLo6Oiu0+gCd42/aIXRgvhf7aDdatL
zufJ6GIny+cMhZQyyzewEhgh3VS/z1lPhi0LQq0fiesT5xihEDqReAaHRpv+rXOi0m9dAvzWbpv1
7z0hFG+hQ0ZBWoDCLINsPnu1QfnWwWHbcWajW0FX7yZxZu1YC08M+9oi33iF5IC30ssg+Opi3+Jk
GyEQW8VhJulWuhPDUi3U5K6aTZYUnDPkN8HQD8dVazUG66Icmvc80ZoL2ToHGXI/6AMZEZosTsXk
3GPWTKsNkqLgYg61+QgcDgXtmJ3GCJa7FYhhjXngUcuxDLjCuIETV+wKpC3T2BMM5mF5rekLrU1P
a04TG82as+eA4hEJYKYjOdtojkvaJN14X9dGOthT+xh7PV1DkBKbiQjQFfMaF6uWvMLgBDECtEAU
Ebpt0ojybc3zkW1MBBUbN2TDMRzSbqd62Ng6E1hHH6OdC0R2Q/7VwaDQWKeVycs3pPAIPXwvkthb
2X3CL0CCSYECCOmDtx4yWRCV3YqNY/HihpNDSXLFjeqR1/aUhGu9CJ9DI73MCzZMwwlfFOTzld4S
n2EV2g566k2ZNht3uaKpueA5regOMHmIccJ4tfvgpKfyUJdJts4wpAtA36tYhRXCJfOGrve4LnP9
NXHyrZmKGoFutzNF8i4MJ/XToHm0+c0QuFemmbzTVT3lXXgRMvEAGhcsCq76LmycHepBNq3hGAXp
rjOJUMqa2K+8iftuRHq4qoO6Dk+JaSmxSUjmua47+yomJLAYkmqtaHeuTJUdhTe+OShkN+nYYGbP
+fKaESGsF3oFfhvl+b1JN2J2C2gVHsfi3nKvDIxXV2YwvkRB+3UMoT/RH1qIT8y8nIBgWzM8TQkh
RJQQwarU6PYbsiTMEvIyKbV0StJy5zQGWEGPDxC47I68XKbil4BGeLIoljLHlOtOlit0aoRyCl7a
UYZ2QLk44CKz1Zov9gbmN+70UkFzy7IWvS8PKpX3fN9pLVyTVt4rwSctZH4aCr4HS1T01crS/++0
+9/ZXP9yX7Dx/b9H3l+67rl5TqPn4vXzNvvpZ/+cfuu/kR3kggFdhtaLQeOv6bdkxC0BGLEHAw+V
7El/sZT03ywHM/WCG9UXPjVv5K/Zt/sbfwCzk1M5ZKblp/6TbVb+6NvQFyg1VCa0+NhB8Jd8v/FF
wbS0kxxjFyZ2nu0kaePzWsDiRKAt7Wd4I6xSeO5ZFFOBxQxfLLrryUEmaiEBUrZUJ+INY55i9KBB
gvkxqr70c7EpBvIqpcSUFjl1dpAIPl+iuO8OIolNNqMu1GIyUAtOztDW5oM2QVhYuzIGScp5elt0
NZMPCspVVlvdPil63oWDCHgJVRl9kaq9VlTNW4ilgCcq7YOVl8cetnrdvRIdE+YQE9WCPUK8Kft6
mxucra0uj/22S1wG1jrIl2iGcc7Uahclpvea5I5OrghS9S29OYtkpF7cSTS912nl1Du+GbnJzTGV
K6tT84Wmx3Q7vBbP/SwZvphZWMaryGieM1fnjaoQQ2juEtq9YiCfKiILyecFrkybmPYQUZdVeR5c
q3oReVZfWSlAzdn51nniciYFiMlutidz4DQMMBXs6SbCwc+gvj9jt7xEV0fTzpLd1qS9NDthc1Au
+vVtCTUiQwKfV5eVS/dyE6Vgfjr8QRD6GOiIjW7FN0aZHJuUtaNyc2sTMPulWiD/brusPQhzvEYM
uMCM8hkF43Q5NQ0T22SkbTW71XludSRLs6E595mV1BcNEbH70dHEJaND0KSCVslmcruUxJbF2OLk
o9wPbS33WdgPXwbTdvQlcZE40HEe2pWp6SchXe1QGqQktWYXYDexYaFzp7F/FUp+VZljHAuDCoKW
n7mIfuzJD2jRvsaOanzBXbnHarFsgzbZ32Aiim8ELDjXsnQFW7dIXpqqfKJZKp88b5Y7hKDpbY5S
8UzHx3mAH06mcRwJcihqeUqyPtzU5MmyKjO0LsmKH8RY0E01tb0nVLqji27cIEdD8DrGeVkh5+SO
tpfkHdKEiX+M0ktix/EFZakxrnVJJu/ETGFa2XoiHzo89sa69VR0gMA93Y1xOB5y1epnJIu4WkO7
Gp5N21UXJGxbAGfaZDekc/dN5YE6BSjV91DSzXugF8zDMS+oa5Oo8W8ZQsqGsJm5rdektdv1lUc3
nH6Mysl2gerWMr1PNT81Fe7+QLkVBtt03BVE4cGasB11Hhwnf7DAyyh0FHwVdTrCB2xDehTYJEn/
ReTKCQnS6YVMQPtpsXCvWS50hG6xEV+R2OyhjLeys+rm7jRALT4zBWP/NWCn3BF8zAwy7VqG27Ve
/o7PMbwWHYetlaEnxnZo6hZ7qVyIULqks0+di6ZbBzXCixbJtQFt8jJYMCpYEcEVB2Phd5mebXTX
GvcScgp18QJhcRccC3NyfCALogXXL9LydgG3uB8MF8iR8clIAmMry8k56VTeR/GBfUF2c2J+qhhv
Zvk3mwRe+DABuru1MX2pgoUeYy8gGb3JjRd9gcsEqsZkNNXNnU0IyiZeIDTxgqORsc6zNS2QmiDM
1I27gGsm21YLtgScTeUtZJTJ8eHj7rUa5I0sh4gmbSD23gLE6aRWn3XHy8+xLe2HWqPPAFi6fFMm
svPVPJbGPlgQO3LqjWuGSPaDHtT4wHVq8yMmczQ/nQQ8tqB6SBY03xmauZtSV9UDGgt9o1Vj8xAv
mB/OOkgXsgX+Y+qTs00WIJCxoIHEAgkaFlwQwgnk4FoLRAj2TECE+UIWMl0gQ4wIzBOxyji6FwSR
6wEj0pnYg+hIqG+a3ntEry63dWv0t7XXBGd+GxyqBW4UL5ijfAEedUZRXxlO21+hzCpeEEEMW0s3
8m9GH3vfPBfHbr8AlHAOMrdaoEpp4nTkriykJVdDj4Iusfb1DxKTDTf+Il3wTBgOwLItyCZAN/m5
WjBOUHB/NzgZ4jdrL6oF9STZ1fKg/Eb2LhSoqZe3YR1TpQGIciMZ3tcLNKpoQYE5DZSCrkHLBYuI
o7rvTDO6aEFvKlo1llJbbTKdcN01ZnWqpNat5wVWxVQ2XGduwxMpjGJvJzGGlthmQP2IuuDCxoB2
qZfDPg8pM2QcXmLCaPYs1b4+0UrJE2g1XpWj92/0Zq2PeOHhCnUxcwDUctlFSodMYProcjgrtH5w
FmGUT7skO0TQkfksBOj4zQgOO2qab4QQsDL3pazXrjJHutrCVncNGilUsaB/jFrZW9Rxw62pNXbu
93gX98BLJz+nqcy4diQuBJ7pvBxu8749YzuoXqreTPeBZ1SL9TG/GCsuT8E9j4UjN7ljK+syaivy
tPDE4KQhcEtXBgf+ed47wzjvCmVkj2ixX1M2LQaWz9Eo270iRY2rou2Rx2AICNeogoIDjctyPVqa
edvC9rmwklLcWaSFkgOsJeM1uSdTt6Ly5wxtM4Da4KPTQTnHVHqG0N7HoHEudBjRDzwfEMTcqt+b
MwRi1N7la04+0941KnnRGdWMi9dOV4TAnQNGZiviY5l0DXlwxxeQc03J1cDE3rjPrjFRbLZ1dKWH
I9PmbDJxmY36rhJzec7MQpzaOM4f1SAGf4jCSqyFNgwkEhsQUAynY+5DQIH3nmsmaTXgXBHrp9aS
vY4EKQ5dFfu6WzjWziliEgSo4G5lmIaxH42MN4px7AWWqcLJIH8X5S3ni7i4zEJNo37NIUmjgSFB
+SBafXY3Rl0n6tobx+ZCeU12Q+RU/Jaz4kyryHIUOAt4gi155V9MVNd+wnEXsKyu37dyyLajUUDg
Q4lu7nO0UlszMeSKdCjhm97i/3KNeC/y2PBhnVW3eE+IjkIhRhQgL9gemnIsNz2g3JUrQA10HC1o
OKYh0T9qfFXkd7+rynhtY7v5JrPh2akGaBC2FZbXnhY6qGb6bj8jB1kXpalO0lxAApUYjhBeyJ0M
MMXIlsQ5lbE9taI3L8zavUeHmaNhVqlv9Jq7CYA4QOKSpPGQ77yxM7vYRqgUj0lRqOtOD7Qd5Zh2
hzGEYbitO2vLKBw8LlPwinHR3PKMhrsimk2+hj6/xyjvXMamG55FHpHzMw/dlqGpvnaizCHBZ3HO
FWyd68SYE9hgHRwdY2DsMmmSCTwDoUODkudFx1Ltu1oVnPMYNwLlPjRIlqhV2Sb2VV/GRAlmAeji
WgtJBjSJIlRu4WEGAM/gz+SekySJuQVOg5J+FIhom3QyCDldKY1uUmkdpUvwp96M1p5sOf0u6LzI
byoBSl0zSKcFc7VLJ6U/YFuBsEqxv0+dQR3iLCjPUhGduepRmOJEFFr8aMdNt69VWt0K0+w2o4EO
nqxQBCRyth7Y6NCXO5BWGD86hm8pcpNindRyAsd7lpaqeCeKkFFva2dfhrTId3hqBeM/aezn1LIP
Xj1ZW5kEAq5epZMOGnhsNRMkKE4D5gav13hqRXdji3bLOVWcUjknvps1XzX0fbWyoqth0p4KsplW
ZljaX5AIOfTAmmYTlxQtlSPbdWWI8aIiDsknUwk77WjBde0XbyGyPTCz3Bj4R/IuU7dAVZx7Yc2Q
N1DF8QlorcE7D37RnjQsnPrfNQ1/rNOWhumnoBYNoHaiSJfa42rFEWrazCEGT2KJduOtYSflBhq1
9qX2jPEeZYL3CA+1ujaiOTyieamfCCxPcOZywAeybYQ7NF3V/WjCwhC2VsPZT3FFNp52hldoLPH0
MfNmCGewxz1rQcoERvxIZxhefZwVNKRoTu4qqPA+bq2j68ba78gBwo2pjeW1lmTtHhj3Q1+38Ly7
yvaD2tMfjb6Xx04HwpbUXrmRi4kXcIx9ZcE224LgbuxNXrvzoYmk/MZJPdzZyI9W2NOey8E+911/
Z3FCIbqZHAloRtMGpuN0M/TFKYjT+RRjGOAE7uLJEHqD+QilTORssxHV0EqEjf1qdDWGC42IFzb3
nEOhP2h6+RXNKoNrkmJTltjIGU6BlNMhwqdOR5NO0E1ZtsM1+X/oG0eWg8sJGsqb3Yv4FcjSsKkY
KPukExi35ZxO3kqLagi6Dqlq5TQ4RwSZ2t424LW3yVzWkPT6eAapIca3oR0f22iuseza8RbUara1
xzrbDiG1k4NFbmU2c3wZKNsdEIg2HTweAurp6Q0tLJ05vp7Tgh0ap9NFQP16jgHu0wQbh/iWB92D
+jSqg1Faw2FeFKJ6PLXvVdRxFMyVGkFfLjCPnvOCWrs17Lq1q2vlCXBLcj18HLmzj+M3PBLtyC7M
oTypVOtzIY2toJbPVkJF0bW5nOTNj0O9u5zvIS9x0idwAq/Rcv5XmtudvKUmSJfqAKxgfNWj+gHp
g0bsmnmcjv7Ga+8Bq5ZHEKfUGg4nMxajpQQxP6qRfilMcI6oM2RDqpVgKVxUgyw8p4sGxWjyat/s
a80HbdfiR11KHvej/NFlU1T7rpbjGl2yjnTe9vzJqhK+8JQb10uRAYQ0YZ/x0xkrz8X4AuKlO1tj
k+wmBmkzixj11lzPdxXT+02mVbeaEcf7SuOCmSjXb/Net9Yl+CJcb/AYVyVH4Qs5FvVxiCjSrCbo
6H0nfbWOGJmFTNZp3Uah0L8iK7HXCKbMs+cq+VDzHUwrsZSM6VI8ph91JH73FAxPR6eAIhM1d7Im
BJPK0/moQr2lIK10pFP1UqT2S7na6054QpV1qpZSNl6KWkRN8sSbXApdSt5mKX6zpQyGq5HCt6Y0
trXQfSqs+mnEkvjiLAV0v5TS81JUF0t5TQ4vlfa8FN3RUn57SyE+fdTk2VKe50uhPiwle7cU7+NS
xiNloKIniSxAVUiZPy8Ff8IinQconzqSFvNV/9EZSJcmQb+0C+ylcWB0vbf51Kv7hzGMtZg6Pk9h
dAt4DtNmhmhMtDCTfL+gtmhmKRJqbTd1rgWPOj50RoAAYqI/bxic0+Gc2GdhLfZ63YuNtR33NoAp
qT+1bhQV66aU4euENPUiz6wJnrHeEldleo8cDMoH061OfQwZqhfeDDLHVLeA/2JYalqV8p0m5sCU
dEr35J2ACiSrG9O1w+DjonXRd/rdxLtCxoPKBg1G8QzmFfZfzhwGNvWykNHYZk0jDIf1bf5Y66yP
dQ+Dg1x7y2L48wum/+iS+WMH4jDNnN6QjCC+v2Beg74eMbG7g4ZxNz+aj/Wz9ljfqqv2hiFGca1l
v8rHWr6C774i09SFhSoBbSxLpfzhFRUNFqxgcbAbHDd4gXoYd+vGSqardIxnY81Jujo2E8nPREan
0Ytuz52PIDd9n3V7UbZOcbDF8QBrxkD6N/pzYLKHG2UlxY6pmPa17SrnntkoW51TlIpRhCXd1O/S
qdmPdVmfzHxRZBXzeOAkw/pEO4Xhjnvbj7O7Gzh+0mwgPjiziGGcFhsOUtf5G8iT4NCqIDtgW3B3
HajdLyRVNyfAHym9/SE8Glmvz0ccatVd5BGsZ6k4IRlJjWoDKrF5IBVpWb9yI/v6/7el/52frf3f
D38bI9YFbPTdb/yPPvtN/9ZMt28t+eJ/damXv/nv/uH//NujcNLhPt3Of8Ms7fqEXn33uU+/jMM/
fupf43BLontgOkvaFxIt/r0/1DGO+5vu2QJN95/zcG7Dv9Qx1m8MyW069FiUF2UNP/RXn178Rlff
dFlcDIPzlm79J3365U7//CQwkl7sqABWPJ0VRv4gjvGMeCD3A51xZzORXM0YmL5GiAN/8cT9OHWH
JobjWmK2kw4o14/J9adDZossO1Fh4fgOfqtvg9DcrSvMsGFilg67EOTB7tO38A+rsL5gob7/YK7j
QI5yhQDSqLs/HGu9fE5RnwaOL/WRrnOV0z1Z9xqHEoZbZrEhPSS+c4Ht7buAx04RaYuNPgcQOpn6
TtRecoE51bzQ68HwEauQuDtl6jIP5/mkj2l1+Yv3+6NOYLlCiy5iSe0T8m9LEiQKaqERO1calPmr
oqlP/rLOf1Ov8DaJxsxPhdJZxvDla4Od5rUfXfUwhQmkw7603kOEjF8KIKEX4TiX7z9/e8bf7xPe
3uKoXMJGuSeXTe/TFyi9WlQJXkK/1+mwxLPOVJZS1NzIVkXHCXMI+iMSH49ZZzJC0US453SLuTyU
7p7OgURJFObX5K0fdb06iEi7GUPdBpmB3hnTVT2kTyZTqd0QWMjiAVy99KGe7vKprm5//lmsH1f/
5VIjx0WPZpoW067l1vn0Wdx4VkxxTNuv+iw6wW1y18TSGuEG+0R0oZoYDlduCtvXyla9Fo4qAzpF
hQcgK0ccNVKr3ECJ7Z4cpE6gJPTilEMNeByRrretfSkbhjeFjAfM0lp4XZj9cICawnkzTJ4qu8bW
HdiPnt2ZVx2xCEBErtEiD/sKnifhbJlzhbKpPlkEVVC7R8rmvBjrtEMh967Q9kq/Zw9HkK7MS+rp
6NV1EEav9N6sjrZT42dKckweEasRMDPBrDcxNK/blGSKPf78Wv5NcsK15GhqW5hlTd1kDPn9tawk
elm7nWwISmZ+XYq02JaJEie0gDsmlO9aosbrforHdp1z5M73fZOpd8Z2zYtV1d1lHaoBkFNtyAPQ
hGxDQ1o5q6KQOoWhWZ3LqITbiwMPMlmVT69er3ScTEF59LJRe+RIGp4qRlQ0PqtYrKZQjCc37ZNt
1zviFzcOK+vf1hSezGVxZ3xq8yj88GFdQV26PARtWg9XISdRKJmGZh0qlvWzNjnetiYCdBXo2XzT
QJo6mpXN8NIikWKvz5b7BQPo9IaHQ/z+8+/hH9ZXF3nRxyDYEQhxvn9nWTjlQ2YrG/eUYa/NpnyP
hulgUcRs5Dj8omfwD5cB+RRDZBRZOPCXHMzPzw8UPpibU2f7cCLlo8DSsjzFyfXPP9I/LIjfvcoP
T2kGMN1pqduZHMTxm8AUf5pgIjMM60AK//y1/mFFgFjIHs2O6iJQ++HycUsmFaR52y9s0ziaWj6/
zlDPTlZjiltjbFl2OcVhWjSFKM5QfpvNz9/AP1xSzyJHWSITQ6P60aT5tCSVmsJHGtm2n3USvIeq
sYoGs/zFLmz82OuxKRNcYduQHqk03I+Z/aeXMVhy3SlLHH+wm9uKOQs6kWmXxMPNmN/DHbkewbOh
iH1dFJp9lGnXs55hyZxLd5OYatp4fY/3NCJvDWyq2skQO4M93rZGVTOhioRfIbdaCaJnK/iLuGa9
mYREVb9hBFr//JL9eH/Aq4RSw14JZnI5Vy1VxafPMkMCrHunkX7NtrPGJOiunIkQ39kpf5WQ8rfL
hhJ52fiwqEANINL4+5eK5sDIZE/5hoghvAgmfGKQ3IZj2BTZ1sRkvedS/6qO5Cj441PtgNakAWkv
K6u0OZ59/7oKB4yRA5KEmqZgaaWlb4Yu/OVgVI8m3BVnpY/trRbGhyZUT9Irkq1Uk/EMWFFfdSI6
cvahFnQlUFzn3FaV2LC4LULoapctqMA2iJ8Co30qB30X0wJe4U5sV20O3bHOyMWTajzQ5aWTIltx
9sD4rRfSpEcMK60uDLwE8qBoaPTAvnTLgIDvRpwqQ8u2EmUl/HaD8V2V3/Q1rAIoONB5xS0S3jWL
/iG13LsQ4e717Dxb1fxaiLm9LkDN4Z6zw0dwyf21VjO1ZcxIC3pOSJGqGYM0rUTCGDsFQaF1ljxN
mNQ2IyUxaM6xHcD+es3OiiwP4VxnWk9jbEAlEvl9VQ3nxt31fM4YttvvAY1/3w6Idoy1EGyLbceM
YjO72dp1mvpF7FXYIghWNaYmv7JqSGD66ARYwZK6Y/posec2vfHWmjSWc2wK21gPdVwsqQqAbg6B
PytH5puAXeobzjzlx0gtiYOf1hW9ekwS5aarTTKhir63svVcR9OxIR/nJogGqGwxtiL6fB7syDIq
5p0BbB69Rc9AYxrJH5oM730ihSVV/X099G8Jp8uH2ADhYM5g3T13+Arr8aLNx3bbIpm8DJglPtRJ
YkJlgqpPWGaZ829lS0E4Q/g165vcmx/GEE8Uxb61By/XAB0IIeOkLkgXXF/DdTPOGLBJgj3jrc5f
MQu2133jgqQLovDdHTpvh/+63YvarW4QAeqPRV1lXwn/2eEFLhHMIxc9l2Ve3eBSQRo5Yj+06evU
E03MYfqShXN3YwZT/6UyEm9da810r0UQvatSS6+0qobgOKLYTzloXTF4BDUqDLQndS55Zae6CuAL
+KkaSW3HzPoMFro5QIO0r4ymgpPIt7efk7y7ifrspRnk9JIsn1DRr97hYTmL0CLM+B51k752cVDW
wXQZaLLdAYxTB/JAyt+DQI/uS8EtWTMZ4QDuwsSq0c4SuTlvuq4msNCDtIa4w76RtYquUtCUG1FN
5GdODcMI0Y5bbbCmi7xq8uvCdt+i2n4qBMK+VauXFZx7Ix6/4n0p8WcqjaaDl3Gmo/3Q09U9oJgF
C9uEX5uq/Vp5eBFBhugNzQy9ewjd1NmT3JjvPHMq/SpAQkTl056AFtqbhiCAfdJU2bbR3NC3ASqt
0UwXD+RCapcx72qDV5W/nBa3rLDjvs5rddDhC/n8rXCHhvoUtMObaUOILwHYt4lHgkUhzBH+WcRf
0MLojtQE1x/GQdumpouIo62QtZaae2f200tLqMlt1ijn2mY2gwwRo7dlxsMhy+3zXAnzpo9yvhOj
B3QbtYrhqw493iPPZRt5SiHcNbEdleTi0KhCSAmmOpwWVncwR186qEn8v2o+ClHzAUty9iab1dG2
2okNokaJpUfJc9sX/WkIbXWFHDm7sSfStzrAor5WNYibkFhhSXiqo7zdhg4EUBh3gFkEFIGBVIUR
tfjVokuAvDsav5sqIdfBrZNN7UViE6dhfTa0HCdJQGlHvkFuPZhBbbMGhrBMafRtdJleg3/rb8EW
HwkfxvfcYrFP7rGAFHziKr0xxUi6zhQTLTiP2W01JJz0XYXFLWkNSc9zLpINStTrxnCsTVFF874e
zTs9GNd2YRmAOSEuSdkjwqkICGqMl2Koj5FubzALvgBHZ+ZbDNZOVSj1Gk3clWicWyCcl4VNjoDq
gbWsbJy2jx3hSQSUqCL4FlKeDasoyCX8hAk5QDU3TF86wgVy0x/bNLzq59Zddwadr0iZtNRkyQRW
qxvyNWKvIKm0Layt41kkQavggmNHuSuTBYpuasMZ9Vu9XeiKmJLL6sJ22vLWcuqbKNUnhGae9hxb
Tfk8NyLd6YEEGQPHBc+aReBf0JiPvGs05ci8AOYAbAdyO+8ip4qePV1LLmpX9Cska+1tY0AbjPLK
2w9gQdf4SCkHs8ndYObPD5Vpxyz9NjOsJhWXGXa8bVezeCdxc9Po72lEH4EG+dTeux1ku1aPqrPB
3PLWCVP3CBlhOsoZdQy+08m3si74Wsze9NhnKLY9I9NvxxAiYGFb7IXEwO4stBbflj4fkLy23g61
Kx+rUIhDHAETScyQ7TaCzkCq4mZMzfBMZ6djctuXJwXO9NgNrX0KzN5mHDuIewOcyk0Wd+aBebd7
wtPEmNdLwsshd/lV6w1XtUxeq7xO7gHziHWMD3zPLerXfftCwkq0LTLOiyuJFCqBzBqBiM4qzv2z
dKZDaxGvg1i+6q9tAcekdQoCvfH9hei3OxRCDvKt3pWXJrDO245M3Vc7rvNHaZDQqmnWwxRY9obY
SLY/sCk7Ww2Nx5C+S3a0bgsmaU5+QVamwxpmNVtLassUFl6rhIxyp9nAPziYZt6wlUxUyVaT1VZM
EAcyvS43s5Vz4wcd9MfNiJrhkIQDTn9XkIXcybPLz6+wGmg3xMVnl3Ncvzotmk6RNqgXIJtAXW36
K+Le9rK13gu3uUChGp7t1HM24zSkm1BFyWEwuc4wf+11bU5qRTvqsg0rHwz5moNasCWIUlU0CEit
ZxjoXSvd66+7rg2/UGI6Op5ser8gVpxoJduhucJKFzzIRuq3ed6JS6NT1YUJwONyJPD7tQVTkq+G
OoqIVuTNaMKy38xReL+7RBZdkHeZ+ESiiEsdRu6mcYqGdAoOfcR2LUMB1oXp2fBaecqHdtIAuJSo
dTxZ3BJkVzCSTIY3+sQO6fSMnADGucOuLSuzWkk91r8APwKVF6Ue+i6b/Xqg/YONwgnEzlKVxVbZ
18G9Vek9X34Ge6lVebibatPOOGfWTkV+IjL7mDjyh5KEukeYLVmIBhI/7aqKULX7SW9GOP3LxLtK
o3TYGqmmNibF0Mhio9lPYc0WJKsge3KMXu5IVdQwEgPuXSmVe5ck1/8fd+exI7mSptkXal6QNNKM
3LoW4SHcQ2+ISEWttT39HMadwtzpQS0amFlMbxqoLmRWRqY7afb/33dOxR+eVmHOeSYRuDiMegn5
GvphAknKkalpq4dqjtpLMiRXcAI/HJW89blDOBWd0qkJgxC4oX7v8cZAbCWLyDq2OfRCQ1POFyLQ
8rox2WJwum10vYyIpk2Ry3pT4fW8s0UDMyDoo51CHH/K6Y6g1syD6ThE4y6g3pzkmQ9dqIUDTGUZ
ru9cJGdjiqvXYtLnPvilHXX1Rvu58YYvq46O7Ko/iX6+R7ZDkILw7VM9mN6hNQu1dsxc3WWon7tN
Vsb5hsgd7MWSbuI9trkGOJCvD3lmIF9QGcv3BGjhxXeb7ma0abqxSg9qF96k/h45c0iIRbru14Sc
KSayZfePdeCGT/ivbsGUiwNl6+Jj0mxHoPuaZHLMcfw9JEF3I51W7xE30UivKnUojDn0kFGn86++
92if5xatRUcGK1Qk1Z5vsgf+tCnp5CfjYaB98lGUWGkaq/e27PpJgof+SRQpsruUgcuyJqs3QxtX
R+UWRBSbmJeO5w1QwmPSrGtZau6sZtzNsP1l/IdfU2wRZ+lqU8+G5MUqm8ihs9kap5Qs85bzf/ug
6BiT22bUum1sn8KDE7GFiWWpdrAe1B76MPHD2CnFmji2sSta37sZE+nelWJo+ELds/zgwm6eGVGU
+8azfb7cvY9HzwDLEugn4gXrwYeA3TF03E2iM7/4DtvbWUCfTXtPPxqD2W/x22ccg8FjHgXd84sZ
AcxdmWhCL1lUBw8Nh4+tG6U0762s3PeBF29iNMpnknwv2WCe7Lwtf2g8ZnszqqObQy7npl3B9r3q
ZpCbPE7b3JdPBBvMz8jN/Guf2vbFVkg4+S3Dn8uj8DMPy+jWjzlKJA65kBUS+NxVYvgvSnfds0rB
Gmz6Lv7JgyW7j4ZxehlNXB+IktNyZ9Vt8QkeueZniNJDFHr6LoNWeY+Avn4amqk8wawRxyrsu3ui
OSU9Fzt8i6s+AC8SkpABEnMepQdohAPbW+7HQpNp9LM9Z54K5thAUdXLJ/9QD2rolilDTCY1HF5T
h8ngRMz/VPpD64PwGtsnYqWKcYpu5kPBee0ss07+Hq3aJj+RFPGT4KP6VHvJXEQrY8Qg5yrux1HG
bfKQNgvZeVli7yC7FIeoGJO3ts2bjzpxTGsrTBYHq7LWJnXXcExeerqQGyyG1tYhGEAOGs9DQ3k1
NzEkDNG9Ic1ia7lldRiChoirsCqugVHzyGsy2TWCPBXfkjoEwubNr4ZVFC+gsTPAAyjv60ojQ0L3
dZ+q6UkFnuLDP6T9oeJHMIjZE27iPzpyPdLUa7bpDIQTs2HNrmMKPfdqRGBYFEl6Wmp26qxrSDkv
VmcxMCVngdsyjOufWRVM20EP9oM15ICEDQ489yj8hi83CpKPwjWKZhsQsRkwtbNVvNI07PZZLTjs
Gnru63PptDwZwvnKD8oIvWrIKYykMve81DFZK5kfUmGY4jUPgvbPYCdoM2wmh8XJZh1LEL2f3fHs
zwS4iLhYaka1mTbYGcmgGQ+mKzvvTHQYd9Dkuu99PuUHOCvimmnhH2IjhiqRDyUEWE74CR0C7Vbe
lnsmMTtK3zwKtO5ZiKexH+3yYqo2XTlwuFXEubZ4N9GvMd4LzLWMXRZVHq67lTvWoDgIg15S4bcv
8QAreDTAd401FeUWT+wfXfnwk7l7jydN/PCHa1ULMivjFTnzhg0JsQziDmK9frMLp/0TMQe6mNo1
fvGj1x99MLYoCoKqO/Eq5DHAvw2y27mnOXnveuF83+LHgZbXa6I77mDeMQ0LeZ4PWAc2g8hiwAxl
9RBDqb4vTTf55GrJdVGNtfcjIdbBdJ0H91tteX669cR4TroICfQ4GkVNjkVWH+0SmcrYb7+zUuJ7
NWQxF724vBW06u6Cxg3TneGJH5nNAGpsYeV3DssT5pn7ZNCnNAVGDRaaiCNJ//Aazyp7ngCl7oRZ
hecq8qwHOo0Gg4+mbwgZgfXYzSQ7j3Ne29vKiBsi1sRk36i4D4eE19crgVNAa54XSXQuo9WeGp2k
XyXHpe04lt2Br2oI5qm3Hqs2MYDbpx36l8k2MI51UxcU62mag3bjqoi35DToC9hFLgbchn/Ybu0d
ma6yKx+m3601/G5a48XkCrDKktg60gyYNh5I6p0z8gglmNK/NlUYnjy/QqEBIej3oHJA/jRp5nsm
W7wZcg7WK8+wFSZVx2IM2qDbIoxs/KaGscD5lfhDen5sfy7/E7D25EgJH09L5G6lvcRO9RBztZes
M0nniBm+v0UlwAn44aDRcwXXr27TDOwD9fgD0WCRrqk9dA9ToB6HqHMvHc9glx8rwJmL12Xl4x8+
D1Sdjs3odCu+HR8mvwu6OYMSKBeTlAjkPAFQDr1p08zA73rmcOHezxduojc+wP0R7y0/+gk4AXSb
Bf/JjqvcMl0Sr7yd1g5pNL1Kgtm9N6xpXHOWATCVpd6mtvQlKvL67AN+Ik1VV79mwnJbEJsEXivu
usZErVLUI5kdSqtqTYCQ74FhuceWI224Aptkj6tuCUZ0BJWoP2pjX5otYLAGRuMq7O3qnoprsTOd
Rh2xooUm6bjQulXEsH4yykAkPCYA+deEtY94M6950ESPls1c0DdwFSrZi0sQ9Osu4XM4y5n4vOeV
aHWLnswacFOWrmSmVn2E02Xw30dDqNdIS0nsv8ED6GmL0WwOSZ1376lPpLh4Qy83HseV98GSyRlN
Zb7mcFBt7WkY1/FQ08/0/fEyEVAFPW8aM0aciG0dRrXoSc3cimGyDOdG+fHPsMFvVGVBsxYuazQ0
o8UL7Yf0OQx7fTVQW7yyry+5EsVBHqycvhZbL8SVk0m8zZRvu4WVQI5OVJl96+YCwDfRlTVXoOpo
adpllRAecPcmWYLRUFqdgo+K70x5vB85S+55TcO4ipVJ7ozaSLTxI8LxkujhJ49RSITScBMfBeHI
0T7QAATZQnt6Pbd1le/aWPXXzvLMQ8bxvuRp6tUj1y6yuyvfHY2nOJuT+7osg5NXE3+OyibbjIgj
7iD114cRp9POq5cYM1lGzMQZOsQAnH08weTOhXghx78qGvszLuWXD0BiRTh6ilec+GpgQLB8kI7I
NTGZi+wD9wDM3LxWpQvbqxDeKZ/H7BK36XMR+ZTnsiH6U1u2dVON4zwjEgiOkAD1Fh70LSDPzUNa
jld4Zeahz9z0fuJNWvR5scAz+mtg6PAmNbrdtqMYbOdMmRnoistYOEC/ZNXtCPoWK5YhHzRFzLMZ
Zga2+fw4ZI3a91CANknU/em4rfxCeQDY0ZjW/dwDo3epsQ9svtK4yo+mXaKYgXC6VxGBduyQXckn
XIRbLXT0DKBzp9nHCjCtR4td19ac259Om+tzOI5w3fsO3GSTOhiEDZ6kBfMneEg4DMvUNGoci7a3
td2HGhPKqu7SCvi/C9E/gV0UIZVKwHCbdXbG4bzSlbH1k+J+iA2sMb77q/eMcN8bk3WcCxinnZfJ
p95s1mUr72xNBwkl6qrsQufc1NEDs9+S3QEK8ih5Kg3X/IH/ceTRxHXYHvOJcf4wnxmAvaQ+7B/k
HmsWDwTOQduGQ1/B5I7PYQH+pGum7BfpP8qiovnUOryDK0MKMoxLICuWHVIGrECau8pwd5XLFUi7
8VHZM+6/0q/zatUVbLI4eqizS/UeZDoXZJnNCF+EW2w9C8Z9sFwnXMufPtHhSahwqbMRpeTSvugi
eeZuTIoSAwBA90eZF85N1mHRkxe1sekAdpc7Z066QzbPEFu5VUQn14CUvocH5340g2WEXwH/D76e
TSW59/rWs3AU8L9xYNqWzsM25XtbrblLb7WHMXvHgoJRRgPRODCc4FZXAjYgolo0U5599F2aIR4o
ydolo0+9DhTWYaBz+hWogLeiSvhINbFVJs9GrBNWjrje/a8wDngQW+Cx12YN8vgsKcz5FHQlCGHf
T9InP1SuOLLOprA/9+xHWNAmd5lLK1en07Qea5uZKPm6VR/yPpR0hpbnqQ90MW3iazIO6a3HuhGu
eW4Ue5FoZpojRVFyILFUH1WR9V8zesRfhMcRDTp+n6+oj8DG4V5HzG7KdhrQJ6ni2aK/6/K6pyvJ
NCIOB26LoOGMJ89o3hkUN9vEHhtWmJ06KekywwfUBQcL4qrO7qVZwu+s6geaJcc2r74iM8MThg/Y
5f0e4kcXRnhuk864OdaIVcoJi/DJ5UBy4RMXfQR1QpJV16uxDU3cHJAx3anfhLNdHbKhjtkuzWQr
E3+PBOdzCIerW0/vwAWwzPPF5RuvRX2cAISFXtjtYTGX9z6spbVs+KDnMcPG0LWXkI3VX3l3F7wh
U6ZkSVblW64B3FQ7w5mwfugh/62R8hBjFC3GSpo7sENXNDK4MzmDScpEspWq/Ha8LcLYl7DHtTrF
giF1RpMzIcCAEObSCgNP9IRGlpoxQ4q2DIJ37gu5uSWVVm9UKjQWF9F9xlaC/qGR83TWXWuG+AHS
hINvzFq47njp5n3IIy9aE9oGvRn6h9m0evTIXPN4/uTlvZkV7q0G0sZBi/lpbAKbBOj50YaGtZ8H
nrhL1hkpr9vgYZj0+6y4teVrVllMNihXIBZvaDqNlngKtRWEu7YT82dlxhgqOB1fHL+T73Ot4cvV
rPU4EmkX/d1MC3rKDBOWG5WaijyYQZm6DYMHwWjoJ3dTbiE6Ce7jISwYVPD3x9+kESlrG7gW9ZGg
AazUNLRX7PWYW+bZ8Q32Be2QvuRdfWj6aty5+fjatYCS2jJ8YYG8ryjqHzJ2SdteN+3anOcm2riN
y4w7MR5EyEqR50r80pUqIzFScTMZ+KCtMmk2fwod31e1Wkh1M2XxBnNwBu8uHXllM8hfay9mAh9V
28gWw6YladOvHLsKd/6c29zxScNgInbjH3ZvuxWhxmo85Nw/383CZ7YqnXoxBNa/IAKa5KBsPiAj
xvB4laOWuWUuwqB1bXXpISWyz3BNqzsVefmLPUngctDTB39tOnDNiWSD3CjQmEd1et8pauXtUMUn
NiesHOhCHKbGz/JNY/YLLzcf9VVPcXEgeDa2GxulxwEiLKRVHIOsE8Azvyc8FX8SRLbWBeGam6yC
gTnxVMVnVzs8wlw1PHbUdVaDHXCRK23jTAeg4spUl86xsQesUdId0/uRc8xpmAP8f30LpHkVRdOM
OTcr+bJ3pu2Ax+SvfG3Y/WvaaqrPnva2sRya/ehZCcc6+yhVxWtwjNy9S8GthVvY2RducHR36CfR
16hr/QSOtU1i43cJFpBSFTjrdDnxjtqOr+T1ynuB5gSoSZY8JlrLA18l8QhcUL86ka22MCjR7w26
4L7nUjDULRnxtIRCibKcEZqd3pFzWtSKA2fnoB7PPHGnNeB3b9fzlN5LmCmruWyWzVgdWG8Z44YT
vRO8V4hjaEgJee0hNEITLd2fKKlUsGKqx8sjTSZBO9M1VtFoJOss6scNMySxMaFj4kcyuvcmjtyb
xefzKaosPkqhQFvi6PLqEtUCAogxkTcPMGcesgyoBudoAk1lmpLO8cZL3fwW51W6h4vWvdUBz7rS
FCz0x4Jk22o2E37i3OijYZ0VEBOqUOGyV2X00yFH++HCfH6YbdCTrBONtU1QEa28cKE7+MPaNkPJ
31RG+7YQ8zkyPF45If0eBsRl7X0ZIwUtb/4dDkpcXF888oFiWs80aY17KXmMDCvvN33SLDcHJ8qn
e1+zuoYmOaJoLnl4RuuoaYcDH+ua46NgZDrS9DlaSRy+qNps5+VFNJib0s/mCWCkUkQGtH9XDBaN
N5U3P+1whDRUXAMluofayOdjYU5qTW9+aNY0qonPRCTTn0KGRTc+XfFbWlTW+2gLiKKqDbeh4Ya7
oAz0A8nybF3Dl2eBOg+snUERvJO67F5SbTOY8nL0AZh4vWPU4JsiNhb+9kNamVVgplvC4fOt9uvq
roCGSs1HZFupmvZUTCbCU20ONusX6/uW3K8nQdXESLh92WGWndw5XOpXPu0K3iEwEzJv3rXOoO8Z
tHRHHaXGV4pn6FW0HLQLLkmH1oha5rAq2k9xEu+sTm4ze+p/GdCdjvGIaGel7FFma5xod+BVp0c+
kRlHaqf5KOWQ/BQ+sOsmCvVNKXsAOct9p6IdVy0Jhg1TY9q/Cf83ZUryPAMT7tcsNzyoIkPX3qwp
b2m3lLV7byIJPHWzBcPSNWj5u9y1DnWMZ7PTqfk4i4hWiiFz6+BbUbatZEdGxQIXovxEPQeDsO+j
quQgQq3+1KC65PvMV68KW5aYns5eoiYnQmIQodJteTFK40UVBoKmJnvOK6O+lr0TYHea4uVUC6zH
ieNX02iGh7kP1TMUkOEKgJTiXfI0Mmrd2U7Sv6elbB9dS0zvRkCBEKtVfxZl7K0hXvXvPFbeZZqJ
y2ws54MFCSBSB6xF1pp7ejP5YwgkeR24Q/prAEy8q0fbXDf5QMePVcEpIGB14G4YU32u7C5aE/9w
j5lq6/3QePojD+sGecCs7Z+5MDiPtRUWtYxz8jmJ3XBT0OCDw1UgEJSw+MMK9j5YLqIRBfaKQYTV
Ma8kcx/Z7Ruh6MxjBETMYVnvrp+VPGv5U1FxjnPriWFrfB40cGpmtgm/q5p2ZWWmxxAH02OlYDjk
gOQ26Ea9M20HQrHFHwBNOznxzsjg9e45RvsNsiZ6zUESmWuAVMWhlkyNpRd+0LL5RUrpN60ujwK+
2sWBtZsUEbUaNvy+qsvfqUxLetILgZrWb75gkFOke1Qs7sImvBtV+Tr1PHYmjdEwYzFkwLJhbxxt
+cque8vZDLGyjtlQ3ebWOpAYWitziA5zUmRrl24VmvaAU+A4scjyesY9Od360DYO2qxPmXCgc893
Ts30e7YkGyF+y0PrTcnO6ULyyJWOuUzi4fpUKIJ2BnK+C4Sb9IZfQz67BTfGUgP0knlp7f9Dlybn
Rlb3W7DP4ZcRRc6FK7BJkzVM90Ubty/f4bz/2zzV/488Rf+iLxEd/ffkphOuon/LbeJX/t0I8dRf
vusRW1RYshfUEtHWvxshnvhLAF9yyNjz+vkHt8l2/7I9gno+ZD+POolLVPBffRDrL18RxvVdBfzP
lfK/1AdR1v8ROuRZxfYZjiB/RleK5b//R67SzM0EMPus97nlgDDKgCMVLOC4GxKpcHvOeW4g36hs
mRmHYBnTjGpTD/bd3BB+QzXpLA4+ZiajOfqCTVnn7rrMyC/e1C9mt6i7gh8jLmSV4zrB7Ip3cc7i
Q0TU58wfKMeNgylz9BE8X2YXP8idLM3mXHEdi4kL9SFJNSmiGPZBoiImZQozSxKV2ZWBlzuvdD7P
mNWUFvZ2qjng7ktFfZ5zQjzylQnhYLDGTbyD6ZNxOQCJS65D79YHVoWKpehUvLv0KPx1H1gInNsF
JOe1wSL7E/0zbEBQagyaycVy9g/2JHdVsjZGagKrkcEoISM54A8XtSp3VA2ckvN4EN/HnUUUPI1g
Nm1CVWm2dilwO+g5E0gI3CmBOiSk7M2Dw36q2CKIgVTOXVTStIgK4xPptu8Tf5njuzJACFdDmrhr
bZMcRFOWCr40+zy98bK5A+YhVCMJrhCWXJWM8aFJl/1HZqcj5de+K3/b2kA5RKrCWFOjrnjjxjNT
SfZp5Mj8tuaI7M8AhaopBfZuj4+GNoanRDT5T5FHnA2huobZdq5H472tndnYMJfgBejwCH00bBf6
ho0Og5dyC9sF5BweoFJkA9PtzuyatUNQr0Qq6Fl/ZGX6C1bKyj606kSw642aWV5AwX4fx00MToIc
IlF7lWpSG4Hhny1yDTurQsFtN239WM1G9RgN0ExEV9bXKPHM+3qKOcYmBP3GTUYkesvRs/oy2266
N4dE9Ou55vpGZQ/QYtPZSzOJWM6EU6CNvQFaCZKDfYcRa1e61ryLwpQ03kwU0AwL/9Cykn+dqjJ+
I2fK0UBoj5az6XnvVE71zSqn6bEIgQM6HfrM1PLHh8SiAZilhIqYOKSXnpDEruf3Ao3G7CiwGIW0
bedx/C7MRRyNJUGjSpgZzlwM4CiLWzw4WVZXHuw88neFkAUqwih/bSzMx+zyX6QACGZKG6SlT95i
ONMq5ZMPvWxmjDSmV39gchMvyMixN71N7MXtuQ4acxOAeXmp8JtAIuink+iItUVKD+saPOVMsrrx
11bu8Pef2kH4aLmWfhL2gGK2gITCZ13sCWuCN4/Yl/zx2Dg8cS61N0nvWjcdjvoVvbg8ZGqZW41J
rfAVTVXxmtEuf3NYDL+mXFL/9FGTvCp2ADQM+oPDdeQhMSEMrNu0k4+zndcfNcvupyJ3rK/RD3A3
UR3xb3YMlaSIstiE7U/dfeXzTMGqlYhky9IHTBAkuq9RJyQEKqN1XmwbBY4zZOmG8Vr+YwI//uBB
+flMqHdvo9wNwg3NuOEqPIWdu2IvRB86+6XagAlTWZs2M0PDnR8SVZDz9M2k+mPHxGuXD8Kz0Er/
idQ4VhtvNLMXDWfiac6nRTFsDKsp6vJmrVxr5OdkvMzF2LM+BGxlg0HwVLgbP8uCe4pY/WnmGXEN
QHj9zqN0glM3TPMbnbCsW7U8mg9CpngTgJKKP2lT6oR/eUHDqE1tksJ+geO9hwjAAd0Nr00eFl+y
cfj2s3Vl9OlV2aPJBddmMFQ05C+86Q6GQ4ftWC+BharjGkHejLEDy2Hbo6IPHQ1jI+XYHZ1wE84W
fa0TZB+O4k1G/X1TWL1myOm5GJbmqF+ay9m4IlaIbEuSp1x7nd1eQzsjh15OBDVZvLW3BH7QVkqm
YRT75VnILLiGGQYv+CnpiWh48GmM7c2s8uku+VZ+VeacPJFkRQRWLk6w4VsPFoiwP9JgpntgGQhS
yF6JO7k4xTKMP4RuFtNY6uIc8//WjxEV5i8ic/TTKNtwPNhx192Qh2bPEcnQTzvBZDYMoTozDzMZ
PyXjKaZUfJfZMMritM/x0PYMXtLFjZYXMyPWcnJPFOqNhi/ZolGD/hsbW6BkEoVVXJMWG6VfX/gq
2C9yMbGFNU42uxvkCalx/jWxkP1Cp9zva3zH8WoUGN2srlPopGP7ebBiD5owVUGvjjyOo031k9zS
+OVXCcXtULidt06/3XF6GJuDJKJBjOXbLmcVf4K2bJDdcdo44B7GKkujf97YNJOO4M7Ku2TR1ZWL
uG6YF4edWnR23SK2ixbFnfFtu2vMxXwXf1vwvMqHBBfxeFnVNPrw5I3D+GV82/Mipk/XaFHqiW+7
nvVt2is9B+seql9Ya4uKr+gZYTf5nPBmb9rmqSgV/rIWZsOKwTsuv7TlVYfqlhm1XGR/7aL9U4sA
MHJZmq8c5re/FErndsXwZuS8L0R89r8dgjbr1RepsviVdza81ebbN6h81INkGtxzhoRj70vXf/Ej
lkXQHNBss/zHXJja/TJLWnyG8dAWz9yByUvVHcJDXZO+O0eURd+4mshpgw76GLeSmBvR1vI0tHS2
GeXZ18lEp+j4UboLWhSL1iJb1OSVHnXR9g+Wz0N3Zaiue8MkQ22Luc8bbg9JQQN9Y6s9LKbaK65+
UDt3qhE0ymfZyrfObpjxdaPgOOSGjhsAQasgAy2ayCyo07dyUUdyYMMiGUDfQBLd+tmdP/feh69j
hJOxfDedrNrjzZk2tNj4OC+CSr+pnGf2Sekx+rYt4FbHvFAQRH+BhYaPoVrUDNCqso8iNMdX+9vc
kBCtP/uLziHqtGmumEBMB5sZ+YkgQX+cFwUEYA+5DwJjF5PzQ+KVoNCAjTh8zuRwE4ZPJFiweKcf
Hgn5b4Guhw0D6YT42z9hoaIIXKQUPXaKhoPR1lyEFZZov4q48g7jIsDsF62Fhd/CWUQXI9NLSw3V
W+NkzX4gYRuu1ECaUyeDa+4no8X5U2Zhdov5mLzVE0KNGP7fIR6NId/SeYyv9rd7o//2cJQMw8It
zmnn3W+7+UfFoiVm1BbDKBszBHO8foK2P+i2CiKckBx02PNB/uGfmXE7mxVykX2VfcRoNvhL9Adg
DVRy1D5IbGutoz59JJHEDNVfHPTlbBiPEi19ZoYKqQCm+vhbWl8u/vreGfuN9S21r3Di/K4I8T53
ACAOSTbz6i3DZke1AsFvPIjn0TkG/JXvNIRhLpvupc1NABnm6GzHvAGZ5RMuVUWUH5loI5rHxvzY
el0Fldq6V3ls3UuOyqu6McenABfCXaozaweY0ojWncU7lhWOTehF1aPaDEFp7/rcT+4tUFx3IVGk
dGu0xIwPeRp2F6KTCziZ68yry9aCvA8FWbGx58KQZ7YH3WsfNtLbiMkJ8SkWjBRYal4rBcVsI3pO
ieTNioyEr8G0dOXClH+BBujfj/McPTIzJDbhhvMseIhN+gSIqn5vpSVf2EjOdzJTzMxQ7MnXllrI
Ew87y2HUbUYffIHNHVnegiO0QY6U70wBp3UKL1XqNv3y57SRJFbeyeYH/+PLIWfyT8uZlDjnzWNB
6DVmHQNEkw0be5EDBjOQtq1oI5KYlSh4aiKt2vQtFEZ8pnaNZhiUF0vMMCTw0bcq3ipPuDZLSMf4
Iind3gpUYoI4PZ6wimHdg1ZZ/1GSwibUNMzFhZg10xZPdmvSMBxxZjY+D14rs48WokW3RdCX5A9t
EZm0R2p2IRs3wsdJRiygtGUNE6shs4hIO08VzDu+EX5+CAbbfwtUz0VnUAEd+lTxUQW/Xbcl83wH
gURVzKyRpbbe2hby0b6TpkeAaxwpgthh/ELdI5+f8rKZ+x30POdP20BXY8CSN/MuMDvA7KZi87WB
H9dGD51wuHJkWYkQEDWM5qWX+SPvqvnKd4Z8tcjbifohe9iGpz8Lj4FlS16cJ0qdbzyW3KukREy7
K/DPxTB3t2lOW3hOmX4bdagMQuw0kXn8JvA+2PVR96ol86P/J8OP/3YqZ1bqtBV9Bgb/fkICGqBs
vvJ/8jL+1y/7ezzii7+ok9tcyf7nDOTv2Yhv/wVAgn9ICu4MKEzxD5eMw69YolEmMA0X/hMDlX9M
R4DwwFTwOGgyOZH/FVqG9Z+g1kvj1AMnQQ9Uwbbm5/3fhyOT1WqE9YAb6cyQZ2E0z/2fmlWTWPei
af0jL4+PpKR26Yb9bzuQwSV0c/H3B+znv3NK+N8MoX/QLb7/HDR4lauUAxbhP5dfhR8apVUGw0Gm
bXboFCtUke5Kze3tLorODsMM+Rjk1OOgs61ml1u9HQaXJGLkWDfiua8V2SleU68sFoVZYOxFyhl7
y16cK+go1ZnlTrhiHrBy3O5p7meaNkwF3EqidO1fxjaBnEASMyi2Sd4+Tun0MKbByRZE8A3JWSd/
c/IQYFtFOJLIUh+LZot78sshLExSgpiUy12mWuBp1XYZPGxYgJF7K+N3pDXPYgYtGsyHJBSPIxxw
lvZpRN911YL/e48kp82w1OZOhWyAJgmtPrd2bhSuZ/tSGuVO1oKA3JuRalZuyY3XzQmIwMEW6gTR
DDzr8uipb9PkfngcjWlUpve+47A2DQcX6GfpHej/vPklzkVPn+Tk/i6j+OCZn0ZrvhD0WIWdujT0
qFHc7O2uZGtubMgR1zCB+GNI3yYcAfJnzn7Axv4V012AKCm4IKXyj+1rQD6uHR1zLfJDnfb1ZlKa
EtV4Mby+3aCfoJHI7U3M8pZn4bExry2Jf2kKBGrOeKt5PcM42okRatqzAE6RFTPLyk0nx1OdiBcg
qvUK4+FKtre6mP7Q+jlOrfmhOc3NTFw4pldMheLd7MZnm5rGLp9AeAUQopT/wsdrlbo7uhQoPC1K
rFM3bGcT6oERvAc06wYprg2RwNWk+hfcwBvL+lXm+X0LH7MfOKA5AMHKSY8rq3PFtqFPkQbZxp+6
z4SNoe10moR79s5Ki2KIfIk5jcCtLX6VNaOeOaLM0CI0tE1jmyfdT7Nj7RqYAaff+dTJYsu+eO0O
0VuSW89O/qbwJT4k6Zi+DRr8ZkqHdhqGvTeP/qqR4Xh0bLlRQ3pW0FRkXRy6KH0nFPY7NcrLrB8q
96V1cgq9NT5JuzKf7EWlYGAHrcLkzbGK8dCzkRmS6FEH6m6Y6k0oXRa04sHh7uJVF2VyZYHiuiqd
uaRt1VIkscJNL6NH2NDgZcn+kNkn9NdN7iYu3PTgRY9DaN0ViJAa/9gWAlk6FwgeB49xTOUqDKa3
itiUTuUP5nPbZCECp4bVXGofSKwZptk6llhup27TevEPN/N2dfpIAHU9VtZTnudUPJxdZupX7msH
RJgrENQjlB/5ZpADpM+456Oh2O7a+VGwlloNltmvg0Hel711Yhn9UNia2LNNCr1XHzG+nzXnnK0k
SMHpiiPe9KDsdm+zfy6IAJ8HWs5hHf2Ug/NoAe3n62Q/+CbItrpz/wd757UcOXJm4VfZB1hMAAkg
kbgtXyyaoiuaGwSbbMJ7JNzT7wfuxK5GEauV7nU3ITWbZDWQ+ZtzvnMX+yFqF/+dpKoj0LOvMoXd
zMJ8QjuAXqHMdySgIr8kOxTXTrIrvVFtrCZ5oJJGTxuYd6FNeVRY50YSJtCafPJ0DgBCj6qKb/K4
AJ4c2APac8DOU0yon3TPbhPcs2uHlF1UT7Eq9n0UoMByI2vFSfMLM9LGmeQlZ90s+R/IWQYZyYBv
g6PlVEbNszc3dyTevWliSg8swqM1df9lHqZHRjzIJfyb0etOZUihlDdPpuHfzXb9hpP8XVD76TK4
Nif9Vk/pSzp5+b6r+D0kjl6j3Db9hJ0uFg+TYzz4io8nJ11SecVVp5mV6JS6unZKMjHR7x88NRwH
Ux2EsPczueA26c0FhCrFuGY1TMERA6i4qQPefDzXkOFr9VsI7zK6I3aF1NnWw7SrbR9KoJOxRVuS
SlqrOKjZ/0AZMi49Is9fx8qQLMU1w49nUdrXBBeyg2+aW5amL7W/gLO9GqcDjbKZtx9JSsHPe8ji
enjr/QW9rZ4MLIcsXm9nAe2/Tbxp32JnEWV4nEPnd80We2U2IWD1uL2e+VipRG/SJWQyxcrLAmBe
Ybpnrm44ip176K6bMcB3kZ549Y6dRR+qHePcVEhzgBFgLU6MG0IokBGFMXykCjJu9mB2ZJxMRogN
nWGKx/PQKD5J/D7Su9G+fSxn52poB7xCVwQXs/RU8aGklzOngLzMN1jTz0EOMr5bxD64RtHb1CWH
kFkGuy4K9hVD9qp8j9riNve9l76xjmPms4l3TkPbHQa4ywGwKcvv8XIoeTRjFKtp0lFLP5L2vak7
h60rEtjuZcrRlQzZgZ06tg8Lm2h3Jwb2EzNiaM/fx11AHF0bHGYjmjdj3zzJgByRJZ0ickgLks2L
8hsAw+SXDjZ6YnEYMn1tedfjbLNTIRYdB8e9MbMjHjm5qlGu/IRX3nC9sztGv6vpFPbetvTMu2j8
ztnl057tyEenT7O/QdQvAMxkozPrRP227of4OxbFVxQ6d7bsbm3ZHDA9P5EetcWaQ4Be478SG8EI
+Btn+rqmMZvBjLcuvoZ65CUsX3lFLvXkEs79jontjeDi95AI5TZNrrWp77xEgudEtCeC6Mbl0ELJ
dd/QfXjDeKuJxZyqHKFqjnPJyDaT4fzyvfq21+JQjtMN+9ycjCl7nfjWIUcVN1j6Q8/6NUr8bebO
h9RKPuem+JX/aEVuFJ77YiQBzy1h8UXVTSuBFmVWi21uNcSPIr+yORSiYeNwLOt5wxQXKwQpAWO+
B8U0J+o4iOzO9DEIqH5LZke8YTzK09ztmRBlPe7xKDVvyhC9TQYRPHTS+4bE52FGj4NAKAr7VZx3
b9FNkcFJfU6IfbJrY4fH4baC3o1ECgRNH1+82HNXBim79GzrITl7CK/YI2fjcCjz9svxx1OECG6s
+QAbce3k8EDkmAE5jrdhm50cyOHSk5dmbH75tQ62ncPiAAH0BdkC8sG0m9djkhMwLp170gsXujTU
c8tE5ifLMt4vcQUD5t8UCWjaEZ5VOO4Zce9bmEyfItAvbQ8ffIIl6jnNpUkrZrTJJfEwALA9w/Gw
DxG9yPmp7/Coc/ASG7C23fyhrhD4BS1Lb3fr9Sh8sCsPrk8k7Xjt+zzqqAb84TsDu63j+672r3B+
ntle3CXtlRFPG3r79fgwztGubHcRnmTcMS3Jis24SYHJEnO8NXDc40InRgTJUzLsZ/859MRLOJgP
rBE4D9Q+Dp/SeMmJcg86ds6w5HZVo69HM7/vrTNp3tusJbMgfjfMaDXWGKNLRLNT8msYugPA2Ou4
WixU9QhGGZH2UMtvv7hEvJuYDK4GpMlJU4Kxp5GosLp317E1oeJUT3IId8jzP2KgX6ZJziNTAtaV
1A/a8F7SzkZLWV/qGbU3ziQtTr4y1sx3GcRTko6BvKpz+WjlT727DcvJgZQArMpnmSbZ3Ob5c2h6
xppIq/jKJ+NJe9zIjdnCkg1IfqmUzD8NN/K3RTiXxyCwG2rIxu9e0c+Vl7pj9o+RW6/7rJu+kUyr
s5+Y6qZJ7f6rH8p065BGu3fdhN5hlgHOD9QfEA7Hbem65qcssuhe2bk8wWVwUfOkeMJ8UaWXEmTz
lvQv/2EmwoUzu4veiX4fDllcBd4qMVxr27ECJvZaCb2OiH7eArvnhc3iI1YxeJmNY/7mW6pPEBzz
LyOX5iF3p24fgOl4LGXDyAhe0R2ij+bKLJL8ZBpe80i/R31MYTauelDt93We2k+ghxb1Vs3dkkTD
0bTaCgOIEx41O4Wdh034jNVp3AQT4ircaQxl4W/5e11W9U3B7HjLXVMh3PdJH/Kr9kYUXnCVNbq9
8rXXMx41aL1QQvK5l7K66RwPdaOYbkq1UKnZrSePpeo8nK7m9InWqMa1JQMoFDNbK3BMb6PNsCth
IP1Mo8P7o9ow/6USqV9ZHLiMSvooYb/VuU+un0QPvm1O9+3gV7fW0LgPvcNirSl9yH3OBSP3qlWI
HP25Gx+C0nKeDYeYA/yPE4o7ZQy7sa44ygBQ3De9pxFSov+cuDDxksbeIS81xrxkHH8xgivOpCJ3
Z9fqWgT+VnJk98iszSUt1Q9ZJ0RLEpA1gREJqetX0q4kii1mMHbAAJTJD8wSUgv2+dJgL5pBkgJC
eERphjITEYL7YuswWo8cT+8Jk8PbatT2wWFzfjKgV3KmYLkjk+Bcju9jpBcgCV71LpvuhJgWW1E+
9Y8tT+ZkIeKdMB+UVrHR9fzpkghIx4vIAYFc/4Tz6lkVqOzq9E3GGRnc+TEqBYtrnXHsxwdDjqca
y31cMYl2PaAGpgo3Dpgol7ljYXqv7PaO/ZSYix6IqEUuM5F8OE2KSDVZg+HedWB6Cio3LgbHhQxU
YSy4VaFj7kGMvcA3ecIyeCQD5zZz9AYm9zpKbH5ive/TW2E2F8vqfBx07es8k7ww4XfYNrl86p3+
OTAsrO7g5A1OIla+xBAax1BNdwqV/LGyamfjGiI75AU0A8b1dxMEdyXgEJW4jQnXviHXvYXmR1He
4rjQwtn1TYcL2oBnjhbkhbXXirwMxv7k9flqx7b/uyr+lBL9n8MO+yci83+HHcpB7YLx0qXXdMH1
kOj416GLVAkVE2jug8xeaPPj04y78G4cKoHqKpuugNLUt2MZzvecT9HDEEv3CXF6ctcgSSBoSBb9
q0rZ8no/r0q6vDXT8v64y5sULe8U2+VgVy/vmfXzxi3vXjmH6eNgo0ZblbyaenlH1fK2sgufr7Ll
DQ5+XuYxtNsrqB4E0Ae869Py1qPHrmjqynCb53N9k/utvx/0sOg9wkAdkyCd2JQSUyOY9O6q5Wyx
llNmXs6bMODkMdnGMdQd7Cd455xLVkt9HuK5fTSTkk1o2eYneIAAOOamuwtnujG20NajCFzOvOX0
k8s56C4nohGW1m+xnJLN1MVH1IssyOtoC8yBw1Qv56oRh2JLEjiHrWboephSFb0XFXUGi1b/wUlS
Vjtsny69HdEwDAPHtxkNTOunIbp3/BKelm+MWwTjWJcSLvmfSwAjsLXHspnCTOSOCJbbolzujST2
p29zuUua5VZhnlNegE13qBuXS4d/zfIYSm6iermT1HI7tcs9FXhZdBzZU5bLHRYtt5nFtYZykTW4
mtv5iyHhaVFSNataWO1laHLzVU26QydK+OjL5HoMtXItprfBH0PeGlsliDcZQIERYrkke5xbOQWc
iLGF2WNx67VZcRuxWduKSkS3Vc+TZ2f1rqJpO0gjWmb9jRd8ODkk1gNM85nmBqDBrnVNj/yH7uc7
QmXM116uUOSM4KSWJWMRRaw5y+xcFon8wKsjTnnCIbFH/kC/Ki2HSiHvjGJYeehTftlmdY/l1w82
lYmNFdKETV1Ct7CGTJ8y8MqlWiWdx1QN4c4WCjnL18o8DIbz1hSMcrTZ00nM1JWwEC5ThpAznMYt
e4AnNvBPWRcBPxqSZjMbRX47mEW3VTTsv2liXgzUZze29v0t4vnnPqb07A1hb02cUJywkVrHdZg9
qEEa14rVMGZjDHhIjeMnDxb5SrI3vYqkfELu/qTQ257IakgPhUeZrXPzKrQtLBB9NEYIOXuKng51
Ro8kI7ZMZiVW/M0WMV1n9RxRFad6K6zpuqH+YJPMHx94MNaJ17+62iqvCrjLu0KO7I6bUuzrKWvY
c7DEaEEnqajUyMsHVO5m7e4YpjJWMcnW0+Y9daFAQjMCerKG56ocL6XIi8fBqGjHVBbtHUJbFe7T
tLyOsMRtspSNRoepazsYloWbSVY7MkmgNDl9u+sF71qpmGuyd6cDC7GUhWP7PhS9d5ysNH6N5+Id
VwkVhFs1ewQy3T737WaPP0nzWMUsnHO8cI2FG6dDi7yaghkxd8V8sUtch9vRzyktKpN2/uzW0ItC
m5d4imj5IxWUlzKAUO5PdK3YleQa7s8TX+ceEQqQUGIL23lulSxOZccSWVQ+Kyuu3Zsy8L6sqs2f
UmHMPAUcKAYkC7qY78SWT1EurfVoxR5+4tC5rUpCDkrJZ5f50VfLKgYzdcvVXreYPebCWsx1v6ZJ
vA7ZGy71mw6NNd6JGM+wd54ttmpEb3zLdn6YrFJSCmvW4lkHF8FQnsDGD0mibUS/sRMORzL3snVf
KC6r0mkee0uYzz5vO92r9TniKNi6dfLsNdnBaji4AI4MdMZEoRNfHF2Hnn2aPACFrc37NbJKhkVB
OcBA+rYPXAwz2ivrQ9z15TESRnQIh3B+TdTSZIb2tJvHtOfrWq+e10nXz+8g//INeNFozbrMWDsu
Qy+vS6oPonTtYwj94RQNfnLMOqe9C0qvO/dtUJwhxY+/As6fkyVIJBiXiqpfaisAF/rWXuot5PRU
XksNJozOOxoDcMvgpzrjxHWe1VKyQYrBg8Mn/u811j+X0Ypw/x/tsE4fTQFrPv34yxZL/nzVn8x3
9YfrCjZSPmN+ONOKPdJ/b7E85w/CIVzTtWmWlw0XJNg/me+W+sPBPmqa5LlaLLls/q8/t1iWRZ6r
sJALC8vhP+S/FIH+97RbCTqV/RrSXiQgyv5ZLv2Nwle2rlF5eDe2aH4OqBzvJMkGZH7tgLFvjKC7
78v0m2TU5v9ZWxF/SKX2v5Wct6RhYKB2cXxL1ntg7/9ayYWRa6Mfy/RWIs//HTge6R+oobHHur0V
HoU5s/mN+XvQDcfG/DC2FVML5hIzxJi2+qaNwFbDJI7ZFWlO6pWTtTzB3mACQdLloqwN6XdWGHHU
2clqdr3ceNHOdgMAiA2QuVn23pURdnIXMuqcV8WEEiDDTrUaZXNHrKrcsG37TBB5bnCy7xLfttZ4
/4Do1cUDuT4EmIbmVhqwtbtoxBFKiMuDzaAEWd/Y27cWJ8k5A11O1UAg4QqtCv4QlTyFvuL7BdPY
7kdb5uQ0ltu0SkicTtqbtOKjGP2ZCj8YzQkRShrzxcOEZwMaTv9pS8N57rx2bNcta4W72POba7fI
iWKMp2AlZMxVXgk4CqJzE6qTJLzE4MYepEvOF1DEahOCDrKgOt1PJbV/UHbRa2eGNlFGjWPsJlKu
yrXdk5gzGG33HYyCgJ2i9JtwzerC/+qqAZ31xO2+ChvffB7BtfKfhLDKTVDZ0UNb1oikC4dzfJ2h
CmpWOUj7PaLY6CRsE5caCJlrGgxwBoYrb4k2de7MeIbBJNLJPVPBMBJyWvM6bselKh2JV+fk1euZ
8T9C4hq7DTxVQsgqiJb70tHjdZ+obhcZOIAX19Yuibv5VIx99VwXytN4WVriyzzbLS8Csc9GdIaC
jZIOFUpL1fvlORR2yUXppFg1M6rEYNMXNXO9tvK7Vc9K5CBNM0ZeG7FFIcoJQhzDlLBjhYX5eATP
QEvFnxvY+w2F9ds1PNfckjJTbHu3889sKhkAmb3BCFsDclq7QFSPuu0hLypGBUzCerNkDG8y03ci
DyxNGVbuxZ2wam/nZJLBRvYF6KyxUyCOmxbERonp48hgmsRVosaqG625OepC8CCltfkKAiL6HVAG
fvLJxA9tWvh3xCUXCPSmDDJW7OjoFa8O7Xis43AnsMuxJzSt/gxYje8yi8iCBJj63XrKPOcdvlt7
JecEKXqAaDZYxSzCAHPa1kSVPIodxrDpUZSz/VCgciYM0xLdDOusRlO0yKc+YbMS6ZiEAwVsYPnv
rSqjF6R4mdo6qilht2UpCFUfy1jfQXn0WJ6NW6LUx4+87NrnIfRRCQlwDh/03DWtMoEJ7Bwb6a4l
0CMTe2pt/Tba2Hqk5M0vkHqCezna3muh0WpCTs0CYyMGG2BfkDCNcKw+rba6wJBYytrZtpOmDgiB
FBNKkLBX37S2Rs4fE2BFlHqTQRmWoyfowaSct5EJ4d6KevgMWNIsgizAXEwopvt9lEbNQzP09ZIK
b2anGW2otVBcOEVSyDHkDGeDcTdVzEfXVqrSS0I2UMy8D9jGWhYewbVmgwhcIng5MOdDOgu4ktgw
Uq28oy7QqiHiX+hxVaKS8xK7eGZfufRSvgtdmXJruI8RhF/4J2UhWcl8iaKrJKnGsnkMkd9tnMoZ
QL+6+T1Jssl2rtAuItAd61e75UznMDNpkHCvvHOY8y8KZIqcKSIpoDfiLDTg8vZhwhYckTAkCZWP
M3DnoUOmNPKTUi5f6VDi8+An9OnR+oJjoQ9QbG8YfvW3A3vqS2Y2CcouqFVE0fcMAg+m8MVb3LXs
4EPturAmLKPAmMtE7CbxhT4brqqeFRuMfM0Ux1PkDBfO6wCb4asOZ/ghebQYImMT/hWKKYIRgC1H
NGQAGSea7ABIz8qz7fQWIZUZnUszHIDASd++KnsZRvs2szv/ajI0i+lJW7xd9G3s1eE/Gx9DwBpq
jbmwabeFKIJdW+B4Z2jkwW2xSXDdDNWMVJ9+yXBQOicNjmBswGw3SyNP1yU5IwuvaWLDgCqDP2K5
YA/GRunrpq1yvgSxgZ/0FVmBio1YRJAqc3Drxkgb74I1Nb/q6beYE5gcxCYSr4OMJm7QtNDTS64s
Dr1QxcMt7H9VbHPGsc9IViRmOKwn9YoRi/dVFlI+jqmwgduZErYC5jooj9prvifdR/cNU7loHUNr
3vamP9yqnAg1ftF+TbJh/lIgLASHqcqYfmvpIGXG7Jkwo1MuCoz/nm5PHq/e1uYn/wDoeauHaKmp
zcWdY0nxKwzc7NYJNJs3jQ8Qt6Ede8BWK9czDwHjT4wyWgUfJu0SThRJbtJ1KafMWinJzh/QMOaj
XGVxggNvVKBbLX63MYimV3umOeH4rc6IwOU+NMfpreR+vpYiHBGfZyJ7y/Xo00O0syfZHTP/WfeJ
h3VAaItReTul4FdIHG/eB+12Z8cz+ttgDMTZ9FqAm9NgkJwVz89IfOxPPIIskzt4Waizs73AoF/R
2cMiWTWQLb9mIALV2q1bBoQ+xm6mJq0U97FT60dGj/qoTZFmVPy99+bqKPqe0yCP1lZU496mLVR8
cAlZ8jR/ZJQ4x3l04HCya1avE/C4D26X+B4bZTRybAFaJAlbN3O2KbvK6EwWuql3ZwZc+Wvcuc6I
pbOAYWbYjYN7i1HnaGctLwEGx7E1MBUJP7gt+/KFTTZOcQL/4GVb5TrO2ynaURjQ8uiOKNHTFDkS
d65NJB0rPIabeYCUu4pGiKs4JUAHBVOz1ZVhw1sS6rMWnX0qIqlcJCNW2GAJQiMB2U1ea8d6qwkX
f05H2/mlUuFnAPZ5zLa+aCHKkoLNVeUg+/xW0mAwghah11sndtUDepgQx1BvoxxUUMMIWx11wttp
awZCw2ADQVV9rmG7MkfEZwrqsESh4jgvQ1fzROXA9iiEModLH5f7oclMgtVx/nNdcsFb300Ku4hz
Ogtf46YAcmLg0biTMSTTjTnl/TaKibZZQRqzYLGP+XSFxt/4FcSNZi7qOuzYCe411xVrtXe77rHT
ZEQxs+mUJSPhdkpAbtqcAr7IUSNbAAgfC1VB+wz7itqEse/wPKSDyWUMkLY9YgmxMYKFAarNNEmm
8GayTfvBLLJZ7TKMaCgg54yods2k89hJ4X1B9Icj5MCW8dNs09QVQ7rOkjsX5uXLMBKe5xozFVsT
IIpIoUmuenNq1lA3VL8m7wJfSWcZn5MVVnTva3x2BaZ/Q6wSf2YY0ql858TAWAkUQGE6V3yzih5Y
JwoIj3SjTQ4pl03zREbgWBxCfxEkTIly7pPKMBAgF2on2ibben7gcOX2wXkKXHz7HqKwncJ05s/C
euFJtL+HuE3QTcQ2bxhro7Onm+YaZRvjnCnJvIfZmhiDm6TNPhqTld9gCODz46W4jM7AcZXZ4PH3
qk2ml8BR7VOLJgZe9+yOBFPLsCWVb6r0Nw5+/elEsCyY37TsG0s7MFkI091826rFrc8iPnpyqol1
cYntEQyEPa0AhYIhDwVPIbymoYg2lp6G79iA9lLNdf44zBwqq6oIKr3B/g/gJyhCCEEBuiBx0I6N
5GVKx+nK4UGk6M1yrBITNy0rL9wyroM/nWusqLPbnGo+Z3af9ObRxX2zDS0ZP1ZpbTyU07Ii9GzW
cLk3K1A+JGUMApNa6Sc2iukamwSSMQkQNQt67vspBhfpRdJ/QleIaQwAP5UgF2WG1KnpidctrTpD
sgyeCTsJFjbWqs7ER+s55bPV5fmOBJ6UhKi0Mk/jPEY9npdFBx3i0XjBd+C3AHF19DslpDha1V5A
VVQYOSWiJc2wW4WDKC+mtrOnoTXVl4BHekDPPVZHwh2K14LOuMTe0iQfCfAgc0cb694NU0pQsG0U
mb+CAGed/LCnPPQLfwIrXChlb/ohcDgcCHoH9lOWNaKhIenXXc5jCAAJYp7ULEnWrdOYZ+Hh4jqR
ok40/MRK8ckrEMcPRvYbnxcZvClsFRaXlhdI1D5GEh5cZkqoLwb3tsTCQ/Z5N/jqKs6VeYV5iQcu
4M0/MqtrzugfQSs4qcOCznFp8xBA4nEUjnkcVAjI1iiTL+m1+KzQOVknumT3Hvgr5qOZMWddHnMh
5tsxSoHP4pTtaL62ZFNj4XYy7FRQaITFDG4gUbPlBbiLyQ2DbNdV8H8dk76B8qMh35Wpt9el5EjN
NBYzCNdIs5se+8GE1t/E+6K2intMfPk5nxpSKiyqRtTwUxPwbSYnuy4Li0U6eJYVRgGKizGRd7bv
tjuYFAfw69Y6ob4M23Q4F7IxL2aRC6bkmLvA97UvBezLdRcL+dBjj97iXJp2boGWLDIIKhSultCG
R/8IqQq7ApselBGu4ZsbbDDxybJSJnZNrOat2SyjeVX6V3MP53BdBj6sVA7v38zZ9zXL3W94z+k5
7PH+d33hv5VGr668SNivopbhl+ICXXt8QLrJSv6Io+ECVXEAmJG/MTXOs7Q9JAU2ciqu5LZ6IinX
PAhEVhVQqsl6Wuywpywo9Ircxurgyah/rrw6fQ+0OWMVNifju9de0b7bKW0QBQB6ul0RsCZANwyO
mJNUjJtuwa+jiquyL8PqmusJnDwerMjnAktGC52BVU3psMt6qsk0Uf490YBsLixV6512B5wkkVnB
U9EgvQLaTCqFTbrcmQBiGQ7aleKgUoM9MPy3kcNWP8dOx4/21kkHdA0ZKoG5GUeDh6I3xewe3Jw2
gRWgDZFZlC2gocrTQMbswpLvnTdYvys3FsHGET77LNUq/+j3/ugfCIxowzUgYIrowc7kbxXCL4mZ
5Jxa9Fa3UzLO8MXMiMKUJTG4xtwhb8YJ6xhcsVMeOm3bD05nYsIJlcmRGCiYaNggQsJTqhbSTJx7
k4s/OKA5TwiOFljDhHmtmwr2VtdTPXUqwmZQGmP3CbiCufq/56P/3HyUgKp/OB/9zark74ajP1/y
53DU+8P2oc36Fpr8JfSQ+eT/DEc5j0EPSMtl7WD/DQDBEn94Jt2L73g4biUEof8Zjqo/BANVhqOW
4O/yxL8m8RdyWSf/7ZCS1aB0EfcLJrHM+uAp/AWA4Gssn2lqpVs76BhUltRkupRZvMaqqa+LhPkV
uERxkkDhD+CNu2NJmCv6vtyvyFA2uhdnoJJcFSpKXmXFxcCDXpTHLLAke1eVksdUM9DahdCM7syo
k+rYSznE141bl5/O7OoTUm+/udKmZLygy1j3uG1hxiM+iCSack5CiN5xtajr6ODAkmThV1G5bg43
Skl7o+ykAZ6aLT67qR/H4jQwXXvGMpsQbESzcO3OZnCa27rRVxhb5Us9DwK3j1BPbWQMd+W8CK77
ZcRH0FJ41ZOwufChFhmYyrR/Jax0viXTqBhXoNRiZmWwQ/srQQVpbiHuNcaVnCLxaBY0Ubs09eMM
Fju2r1UaWoxoB1ajJKqk0RjcRV6r560bzQhKy9xBs9DWQzbcYa7y2mshHSSRAp9xtq4QsXorOpIR
EABlBKEVSV591wMLYcyacbs146m5LhFduIcSQ5OzRlVAbe0MyUTpJfBiBKmIox3VVtati7hbWE++
Qccphyr9RA4+VyzmdFZupjblGzihVK8mNeddagQY/wvPeaKV6A9TEEy3tPL+GZkmfsXYT5px27Zm
+SxsG8gE6IEx2MuQpF9Y2EjnnL4ZL8CVvHumdPKTYw01mpbazdlHj3w0Cmg67XgikXu5rXipdaxf
KAycfjdkDokqCjwHW0Hktyd87sWjE+V1x4ilRgVdUaGjcx+7aFoHeUjj9nNwuj+HqF7O02Q5Wd3l
jG1/jtt+OXm5WTiEyWZgdpz6wIyS5ZT2l/M6JOP7t/NziAezS4XEjIbDvQ1m/whjPpk29c/xr5eb
wFnuhPrnekB8YJPxNfvsLeXPFTL8XCcoULhapp9rRv9cOXq5feqfi4hGDouGYrfGbGq5quqfa8tE
d/ctfy4zbqQiABO4XHIgxIYeZxh3X/BzDZp2gcp7uRvFzzXJyI13cPi5PtlxcJWGglu1zmT6haSP
q5YhFsyAwNUNosGEmcgK5pdiD2t3+aPvx8TA0H2kCWHjuaDVoTxMLhWyEbLgxm2hm8FDKCz96mQK
xgbaA2/AVjE5mK2ZXAoxEIxRTDNSMGe+Dn1kl1PExV+PIqjXZIR54E1AKlv3VhOXl2awN8Dr7YPl
9gPkKrurEmzDrJ7DKNmiY576fRIwszjmzUJmTRP3xtTITLjmFr18CEbYWZmw8qpfNrTXa9Gz716z
Ycj1lSHQm1xQ19QGzfrUk7mCv0amu14DvKTt6xPmj3mSxr8Co0ZCowv5C8UVpn4Kc0IohilDChWn
mTWtLV4ZvfN/nEBUrSNtn+93tjpKf9YzJEOqyhvDMJJLN3UeM2e7c6lQRnqFZOVGQnsHPIoc86zE
I6bxYQooRRl1/VGO1alol3gGMyVlBUAgQ3Gbxlk70BJcftvVf7qVP5m60vU2zcfq3Iq+21tVle7+
fbn/U5e7TzTuP7rcbz6+ounjP87Nx9fvNvrLBvS/v/RPxpH4Q8EP4nbnHuUo/+sGFIrNsuZcFqNL
1uafC1Ah//gpBxQ+K+KoPZ8f5M8FqLD+MEmO5maWLGuU7f9LC1AL++/fXfKSQDPJqJE1qOeY9sJT
+lvKUWwZ/jinc7sbMx05G6wI0d7CvnPHc2teIrezXlQdoi9o8Npexwz9rCtVgLZT5Kk/kqwV3zUM
wBlFDZNDsFHqP81F51f7oAyFvKYb0NElhNQ1rQyjVBcgQ6wvKiE2o2GbbHuyh5pW/9lDbI6jVfd3
VWFeGMGMBDoUw1PsVvlTOBfFl3Y9+64x8+QgOBfZwswRcY+5PufpiLuBImpcODpdTjZjZMzMvNG8
RkjGONw6ZrIEiQNEYBY13fuEgU0rclWzkou6fihGmc8Pvd9iJl9w2Y+VqegDyLfqH3OrzGmqnIFl
jM90jMvJEVF/BP9HaILdB9WXgVMNr3FdsPazcw6Kaz0Wvn/VB4KM4omuprmfprT6choHzXjoI5u4
GFbof4H4H3/N1lBCRmv8Ot92HhdGmAw4B2OUWxmm81Tkdy5GmCVWwe3xH8C5pvPN6/eMOe1TKUW+
sptA3QuHPmBIEngFtm1cVUZUmfsyU/LX1MROf7QlhLQVlJsahXUkzXkVjZXDUg36tJWEuGy4QZgM
cq48kWARv+nMCb8QVDWfo9l6tzlBjN62VQBaA5zezhqO0HDy2HDt8WUPCp9ck+/5VMhA6lxC1LO2
hlBax9V8ALc3rEOS0a5tEFjp+8zD8YAX2+DYNgsT8hAXTmlkaHlmNlyrKpjo80hGj9eVzptVhgRu
wxgPN7tDYss+ga96ZVRJeO0U6SfuK2M1FnUaboDTsCeNw+RRtTAOWta5KzPj92aMLteJMVvgCJyx
/DBLHChtrO3vMMvVi9MwRl9bJuq896hiHs5KjtxqPf6yrdJkf9Ubh2QE8AdKJt6bydxFm45olpPs
8ofKTgBJFE107boTOYee6781TRbfYCtswTtOc7SvO0/R3Qk2n/DFs1dKII1DVLg4UWUcjuHacwTe
FI3/HHFXko0Mq4jeq67wwxl7T82s0aYsbK+HoI83kLEeFAHT27i0nHrvJPgHqAeeQMX0b42Dqs6s
mGLgEVDuf7F3XjuWI1cW/SIWgkH/er1J7zNfiDRVZNAz6Pn1s3jVY3qAGUjvggBBreqqzs7kDcbZ
Z++143Xfgybb0UzqWwcBv/vTYTsUv8LNidVajbHHvpqKCVbvXJ3weXskylcDKU2fe6hQxdGUuGVX
VdDHb82gMIXlZtRChGKzMV7VU2QEmzgd6gG4prTinZ26gDa5P5u3DWRtj4Wadt+hAWlj5HLnGSHO
zM5+JdNbGzeO3cR6pxwVd7tx8U1scIzJaZ2S33F2wzRCFEwg4UNrEcQF+axTkzNSRAq1+Bpb55AQ
8EoEQNWAv+sh9geoKpMXmsNry9PlE3DN0nEXRgZ9H2pAHVgX09JKWc0DE3as2idsVM4Rl0pUP6ZN
OUG7BeqZ/B76qbrqs5KSBIv3fLGa6AF+gfwK1RFYU0pPWBtoBqRQV4ARYaFsIscjEmGKGR2kAb6d
wcY3w36Tz9kfTHr1OnetIdqGSZU2R55M5NFKsYozA23jKlfFTUHt649rjIU8UJQcqFNnO/rLohrJ
WME+qjdoMlz7cT4oDolRPlPrZj7XpDapsUlNco6pjRon6Addx37lcWVAiF/PZuDITejkCdvXeI4B
6nItwXKYdHW55l+RkCS2V4NftNioZmMKCSkpNFE2DGbXPXvz19JLJu7lzjCxypLwiLSFOQKlgVwD
eyVjM1LzcXDNdrjug5o8isFuau0nULpoJxnvgYJPaxvU1QMdYqAeBjwa+C6KiIwFGxfISBnMfLOe
1LltgSc4hq6fzEJarzlr0p2pEZZBSrgIoQNCac4rMt+OhhCAq0iWWYYck21Ei+2MWjJ3e+KGwVVV
tiQ92BiwfyjzDo9DUVE3WXaf7M/GD9wh9ktDp9/R7fpkJ3QfPvC2VP6+Nr3mqcTQ/1UjSv3g8Bie
cNEOu94pHgOOpREp0gvAZPXlIwkypHxoydWprlF+9wzx0cHMazJnbHH3fVGAeXHslsQQVRFMXn7W
z3pFmcN75BEE3XTsUM+pO/l/AnwUpA5Ke00LqjgkbUsrr5fj4CgZ1weWw521xYDoA8zKykNO289W
a/w1TlMTjCFFZya7ibZdDtcIbQosy1UXJhadAUVkVldTboGOaPRcPtfZQOibWrPFstJXVLjbXX9O
0xgYRen5NhEUQRsjDXP2fd9N1nVSp8FtoVOiHpiqvnk16yuSeQ2hNbb0q2Ecq1M1ptGZGCmFdPXE
QeVYo37IleSvW7sPbvla2o98CMRLajYoxTQRzw/S436tnKlqN6Hr7Sg3/u36MgNZNMMuI8Pf3vDT
K94FxWtQhlpjn+jW2ZdAYTcUi/xgE5nvYtYwN9xcqHMJipzNICJFHRgKDHxpI0WYHbVQII/4vHkQ
nk2gX/eiWiakvAume7Mz5uqxaDLjJO1Sf0iz4AGL7I5YKbm/HCIAqvHA9rVpv9y6t/FvVP09UUfX
Ojpxkb6VQxRFt5PdsiEQiV18UcHVfocA/xAqxhI1oGnCiZ0PCnCyg4TvPQb2xKINE6p3qnwsViu8
Afz3FDsGVNYo4jAjoeP1CNaKYLSs+cU0bJ17O5Hl2hkaTmZ+uOYLxh58ypjK55K6PjSQiosZIq4z
qv00D+0fpwyYJdKevxZW3P1xhpam2cGprgYKxE/UMFT3aVn2M/6GqYbKnvXJc1bUxT6u8+asYjoO
hUu2KtD4QlfMaxmrqAy/ceA2vGyQyHtKWNKer7CP+cWFsB8cNGAENqJEDT4JzSakb5cGRjUZ4Xfb
jB6Wk6YvADr7NsA2OS4ytWk4mtLQhHFe8ttJm+ZVwf7Uawiypf78wMU03kCDI8ptKz/CLNRlmBv4
M6ndDZLyIwBJxueN2MKOaVuZyB09MQ2nrpaOPTeiQgN3I34r52yHYfhpdV2zhWjfUVdm0/YQlUC8
KB9iZeHxJW0jzkwqT31RvrZ+VH/PoqRnyyo954ZkTQ9SBXHsIS6ncTEwFLTId0vMXNO2XPqqVyTR
VXMsSKxZWwn85Y5Tf9po0AHzgctOiVVdhNFzaBJFN2kvx3klQXm7eUCqSYdcmojpJYQCrXGqP3yV
8KrxjWC+1fTUUVTcjd1n25akBeOkKdc5zd23lpLaJqybmymFajZgATPzxutWmwySDbr7czS3wRPs
69RfMwngLqS7/gD0E6Dk6I32mwicPn5Mxy64q22sQ1sOGB8LnMHrY3HGYPzgzQzhkfBqnJWQfMht
QoygvnZJEcfMxBHfs4NQAc2mbWtDije1d0/PBv0TfjHIR5e3zqZyo45GoVY9WpP074Yp4t4W4xa4
z/Dx9TsRzE7DlcQQEzf73gXj2EfuY+8GBB5JTXHJ89Pp1sEP/43kYz3UFQf1wbVKgg0Kl93W6Wka
48SjGj5r6KWZ/OQ3KxuaTPLYeUbOKYkpCMN9IKPvfgAQxIcRxJZau7WEEzdMmGFit/TeU6+f73Kh
ja/Sz5NHMcW0r8imzRfSjvcH0q2qrmYY2CHITyf/sVCiyMiP0yGbs/7ssQTDyezFIlkLr0+KnYs6
PwFC4BQ61KQWD0DAjGc3mrKedGXV7EXrtOc8hjzpTUrg8HIqa2tOHSXChQRCLtJ8oIwMpujr7KPV
UiNTTfy9Xu2hiCr4IfRoX7UlLSIbI1J6OxQRlNSoEUcz795G0bKbi0q1AX3a8YXI+iMsaU/i1VSd
xhhFgxAPJ48d2fcKsYdcl4zIUk2QXgWHF1vH+EWmpr+yNatFnkIUqSb4U9Kc3riWPo5g+civtNnO
NuJx7w9xuQ+xa/4OsXTdYlrl/JsCI1npkenQaO19mbfxnqWxbW8ojHJvoqAs70aaUY51UjXk5ozi
YDZDeq4jr/se0ra694yJ7GzYczViP1k+sTSJdi5rLeLfQfTBdaZh5xs/qIKjuVlC/tNM/nhAQVp5
fRmeK6dX+4o2U5rAuuYK2wRvagOe/KAGgjduezRLP6Uuy8vTLXyH9ietUZygUWT+kaJM/4P6LEgX
Re22p4EHhND+pGn4kS2XxTQ5BU3af85+/TNXJNBXmR0ur1OmsSouwiNoUY3dSs7UBEbRro9jplqF
o+GaEEGxjb1LXRPUTB2hnsGhdO/bXADuriGLnUnntVeiitFsKYano8HR4taZHTjgRuJeWWX4xGN/
79oR4IAOOudgY+hJEbGdbMbUge+pMWGE8OPE6JBGIAgpnIqvY6OlYS2ZuuwF9xCWo8gN1kyfiODB
EroU7fipqnS8c2cJAU64bQJGxPUOrgS0VoagjfZibGyON1Zd764Ut2nV6NsUOXQfggboTEtzA+wK
cr6gHj+4dYbrInWct2Yq+69qbq7zOKvPTZbkm9pcWFUqt6Iv/DniK+K6Qd/uWO4A8yyBKgMgC3aa
RbvtHvOYfzYVqw6WX9ntavB25Au14QCbyeVN6XrDE8Uw/QaBu8WukRntO+tM59Sast8WecfqbLKo
gKYTdpcF3nh2gnB4DCPqZYTfit1g+7zdIFHvLMN0X/2CHM+qoCKv3/S6n8WW28hdxtNYb/O+zuBr
EvHe1kbt9FAougLvrPRaXuH021J1Y3tMw4ZVfeAhMPNNbHT9Hy/Dv/rkRSP8flMWBZNJS4Fty9vk
R0tjsNYpxWuHZFbFxxhp5InOkhhTPYBD0V2eVOIlVH3J9TvN71hgyg8ZG+4tnZPmD4y0hW5jZ5Q6
Vfwcjh3TzQ5EJIOERxvJS1qPA/l6v5K4KaqmKA40dfvbKmKRvvUJIL31ceUcPRSg49g1knmBfoQ7
LELSPSwCyWfkGFTDpTPyp92PFNBaNlnPdVu0xqPZUCTUDj3RpLGrHuPMaz8ljSUrozHzg3TUh07K
+GwBA6bEtovSjRjQWZjrMhyoYek81d7UsoiYLXkdjROAAqvQ9H7KRs7evmUlZeys0SBd6y/GmhfQ
qlLsK96aFgadbLkyQrAf4HcOcKtWaRt0GNMb/NyrhBbJP5UYuxsfTuCrGHNKOciwhJhZWi95U+Dw
Tyg4BYotOZwFlTNmJ8NLrPxpWMDH6Nm9e5VDuG1Ap0CF2szxlG/VYNAOiCqxby3vPcjrnGAf49ve
QpwjrDQrGuYs05mvGTr1BzDaudwNA2vrNGqGNaOZ8VT5tFEa7gyPAQsLnVIQPPnIKX3Dke/a57rL
k1sztOzvLOn8V5QZHEe8j7hJV86+SLPqxiH1+G3rCBYjOS/AJnVn7swgzn7owjJoWfSJJSI/aEze
5owTZ5XCdKQNSyMYsEGXul271eCYG6zLw3WSorQzFnYRekSG1W7l44bFKNMUAG+qKmL1ZzWYLs4U
qbDkUbB9uQ4TCgKzJfLWOjRMYsmOTbaf7XuC4RudOi3dXLrq3mhiX67K4Fp550A5fUqRAx3yAVl3
WzC+8P/mJNbXcc6DueI9nRL+Z2P/CUvPXmkQHEQlsMdww+EVNXnYZVbsi8YTMfBF3TerVzou/Ddq
pVjiYckx7ko/syZ8MNii1gPOtJ0/EdrbKZrajtzEKSCdKzad4dQ1jHdFLep1lbQV7rHYjz7seqr2
hdu5AEgL32boyn1j1+Ir3TjKd75d9A9jk8gsPbt2lhac8tJ/SxqDCiHTpUA2qV3rLie5d8hy3AA8
wVb2UFAddBhCCz9brJk91jKI2owfiVtcmcnidmnqnA9JTt8FZS7ABut9KHODhBbdknl1TAIddtsu
N5N92nv2uALdPr6zcQUqicepeekmLGRrF1Mo/9beYgeVADAwxAJA16se+99nl8Xmk+/5eJrs1ne5
J6SRdYYPjb2HNW7yKdlgoluo0TB3dKMAeiXA3mogC938mhTdUquTJxAtU8AXjrmyxYidEKPzPi+k
e0IQ8dSu8K2CiIbIfoggyGssTCxKs3RxXOD11+6t6qL2BTZ68loPogd2OoW46oeZWDLEXw9nIdZ+
E2sej8qpJShYrFoISexK+yh4ypVmmh8lx8/kmgnJs4HFageyTF5xTtATiX+q4gFNofge/bHWxT7y
g946E7CEd6KS0fvW7MueM1cSN08V9ZbwwJH0wAt7dJXFLtojs4CRbtNO413ECATybYRXAp1eo5Wy
JPVvklFhafc4Pzmwk6imYIPzf96kBXu5jVO0eENo/0GwceOuFlRp9NUNxekjrcZY497dMAk3s1d3
73yS4JtoIbp9RP9Kd1UJieN9MDwr2BhWE/2EuNvj3Si7hMteWGAK57XEuTJCjsifE6u3T3NQzmQ+
u7YGxcJrEiSOGwx72yUfYMil26knA30Fm5SlLlOkEcGXGmv8dVmZJVsZq/keP1Ba7Yk+UJIcpUGz
qQWf+W0PsvV6GI1wWOs2mbe1SNg0D6yuOFBF0EID4+zsV9jnKYQZRHc1DQ6dY0bNW2adTRU6mtIC
ManxXM6BOQ78m2Zuud1nvNkYwbDYb8IkwaTgW/C3KaCJcBmIIUIsgm/C2tMYm/C6IegQ7rLcpCna
8B+0DzJQOQmef9so2xECWEILgRNnFcAAgpK0WnJsRkQ0a+M+YtTwX6Sap23k0mtCfUJb83Ixe2PH
WG+rPzabzo+MC5mzTRQtV6i41EBwca3h5XjqISUlc4CVG/e7OB29lwqf03me+uglyWNu0vhdk7us
zt4qwwq3pfK89JjwEtmGncQYWLd9uOlgDX6y0DF+SlVNT0kWdAa4eazgK1Iz7XTOeBVSo+5nUOgI
L/kHTARo2XSTfXOZ018i8fPnmVp1sMOEmTDOGfHJMFk2rVuIoCR+w85aWa6LUy3O7N+mUQ87VAtr
NyIoEHQv7HViOd1dIya5mDdLy1zN3jAfLB7ch7YeqocQVCz+hJQ0aSwj+ajrhjO7xX30lBKIg8tT
d9VuRl+JdvPg9bT8UUWLLFM17rwLbRIvhOt5ofIxomhoE6p4SG4QG1Jip7PZz1cVgT730IyOxXom
ppwOV4Y0j+0UP9ItAUF5NKdPmPlby6B6ohIJZuZ6zoZvFjIYx4NavnEnGx3ebUnsPqaMJuScUtxs
ClDek5am/8RdlNyECGLS9WT0KRkv07p+dT1R/oGbzl3U0ugAa78R+W/ZUF6xxnGSbQhcI/bjWoBp
K0eYjTkHPTdK7eb/Nl/9/mf2s7YJ0+H/38/SQfPZQJb+mwPrr9/313JW/AoI0gjMCVTG/G05K3/h
fSKaajo+6VC8Q/+9nZW/BEZU7JiWtAIymGRa/9rOms4vHFsO21lLStcy/X+pgsYUzpID/Z8WLNf2
bXAaFo11pM6gtv59OysZasZWQpOY2kr2B5cdCcSzhvD7HNt/ouXGin3XCyzYe4uY7F88v+bF/mt4
hgKgB7OLydcp3/KJwmWgYAJXsFk08tuqWQ7j97YQuGzMx5AbMCJnF1MyhOysune0Uq8GdYkRMoc9
lPe1pEeL959qifDYBc4TsF2h3NjZoDW1vVXg0x3mUlbqEuymfSKXmKn/4efn8kyukVaM6K5oI/MP
wG57m4wsu9dADIJjvdi1ZRob8qaj34RtRDzYDp9Gs05vB10NV+LiAXcWO7jJXuLEcsfxN9qh1+Um
vDjIeXmL9IHgxBsn9QRww+AKj8NaEpAZQlSjUcU4ReZR28mV3VuMDMXF0y6JJukN6qWdrOsowc7u
A07a6YslfpKaK9IAZyO5bdjos2Fg6+LWjXVlCGviAAMblB0MPxrSkx4r5kbs87x9lpU7tA3Y2dTD
LSZ/2Zopvk0BXtXAjQWVzefasiQEEKXKK1P78f24ZAsaQgYOQBA2CmNadhuu38AmA7RkZkjYFoGd
qVf+NOK7faTvQqTi8kiwn8jDfIk/YCS3H9KJS9z1spwNCQd2drBCIiY4gRvHGHdD6XIzCV3BtGG3
rOZOkUeSZi0GeNsHTX74FeLr0O3hooT9NYmvKVg7l7iHP0jnrhhH2KPKD5viyhfIS6s+yMinln1l
Hoh8EiRpyO0GR8FWuTqTCCEBgimv67cOfrmDHP223ZhWKcttNEv+N7sR0isNnUbhbkrTPjsKWr0n
akhgGqCAVK7EGluNWPNiI2MfS0qmWvIyeVySVIq0/imb0BxPPHUEqMUleQOrh/e6Y5aQXrXojlG2
LIZrmklg0htEYhhwkbSTRFhfVWB240K2RPWPEcgIrQWSnxiVTuXJGtqKtVul06uWFeC9Vt4dixv3
uWnY96/bEBAZTrH4BBSGFDNDbIUkkJgPeP2bjzmYXJoYUmoxJK9YdsC+fAx1jyevzJjpn5SOWDuD
+OB90olqelSFNf/kcT5f947Qwzrryti81VTjEfEqUzlsZTFX/WEWUX4dcLtvD+B6WSSJpM/fkULq
2yDxRL3RQQUgPRRBSkG2Y9lPIAgrPFIypxbSN3yrpbWjcK4YzWOYTxHtzyuSmJF57izOhBVILfta
V4jGG5S7iV1okquPNijluPUm1iquGWG4MCvGmE2J+YLaVhG+GHMW7mdYs+t8LAFmVEZHUV6sdlFo
j6+skvN1zSvT25u1zt9ZbfO5oVoShk/p0Itk5+W5EFn/1ERuwjVvQj9RWTBSO2JbdwQ8sdvbgZUc
4NEu9CgzA7AseglFWNT2s5mnzbmZhujDSSX4nLlts/AeCrxHusMiWLMP6GzaofLFXyNlhPhBKF0F
6ybMjscjq58U7r0j9mwbDmdWlEBS2EfT8+K52U/lxPpk6TmwmEPpKyWKXnzXfdkHuz6zxmgf88Yh
/5V67PWzgWmpj4abuC6NY2hLkmB9VGbDYzUoSu0xqWBRj/FuNwRX85oUBQ2up96toHWOk2Uy2s2i
SuDycBcH/8qzunZE3bz2tJHfYvmGBQgn4MOMQq949pkkxWYY+aCsAnKPm9AAOrfxeA3637kxWauM
Q3/v6IHHM36dlSG+WmiWW1+WCWGyVO+CLubCCg2FtUaeWyRe2DfgAFX1wbUbh89oYAUc+1QYnPDR
Baw7oI/Za/qX5m1v1+FDPhkEjCeGohVKoIec5pgKvigA/nvRhd6C4JF4033PsY2zPQMEcylL6A+R
El16bVvhvPYjjpx1Ylr5FgVKuKsZyfsOxkj0RA6kyDZ9NJrU/1gqALvssKBYBU6BjExIengOMNnO
nFemwufBd15t58p277MRTB0TRZFjPqT8p9q402KSl05cPaha0ujF2UAUk9SBu3gYuEEclU9cn2+F
crcFpxkVUJ4az2mrxIGHeQZAWIBtgMZUqXXP/aA5SENp0Ki1ExyKLFE/7hjUr3gly3ujbxU17LWa
v7lzZnrFCkkyh6HVlBv+EcA0+y6Zj2Zhp+mhcbjer5SipAvnwCxtyniXb0IhO4abNE/umnSGXDRp
ywKcRIRl7RfgfSeyWtelqAYMPumIZ8JOOVrp1iUxh+yV34zUaTxYDPIvw0RqJJ0wTu6EAWwiyYVP
ANzvmv46DebpCSXT15shIWCFSZHQHISWzv/tDfYETzQyb8IhZjgsgbJktC3iA1kVgGJKPNgesEz8
JeEtle9sQOwuqYK7yXcJaRiDF1+Tvwze3cU0k1BXXF98NB6OGioziLdcXDbhYrixOOQ24cWEo5Dv
kXy/ksWgoxarjry4djAf4eCJ5Oy/touth5juhQhbfpKzxvUDPSI9inFIV5wxS/gEj9BEoeg6G7oE
BuZC2e1HZjajLryTWXtC7vvFcZQv3iM69ohRmdHSjbl4k7qLTYmFpVx7tUNo1Avnk1HP4YKjxttk
X2xO8eJ4chfvk1vG82HMRQe0geX/Kq4GgBqUcef7JCoRBHAItvs2joazcTFXCXeAAnWxXNGq6930
iw+L9Fn0Yw9u/B4305NxsWvJi3XLW1xcavFz5Rdrl+stU6vmLFrqP2fZH+2idb/YHWNNMItMGqce
q5i5eMbwqvv3tpzp4qQA5Ckj9QyJCZf/DYyh/g9GScxnkbcY0dw2xpQWXwxqjpxT4A8+FexY67Cw
lXY6fkUSX9tgF6oHuDQUau8C6P+pHUvoe4pRMMTJBMvjyb4Y5VRg4vaKogBh1168dBaqMaUvF4td
eLHbGVznSIpebHhFYfWP9cWcp1KDDOHFsgf2HvuehZGvb6q0PDno0axmg2G6x15LEtua42sirOqA
vQA7YDxqylcvHsGLXdCzY6yDi3LBKovykDs1a4D0mNBPRWIo8KSDdStsG2J43g5w4UewHGFZZVsM
gRHvcu4gP3pxMTqFF29xgcuNh/2RUhYcj4ZRYH4kuO9jmiwyt/icLgZJDtrgiUoq+6fra6taRbYu
bjsaB1+6kRRxcrFaWumU0W1IFTq8r8h8peXQfKGd2LhpWifaB1kfIbNe5krnMmOKZdwcp6qq11Za
2d+8ILMNrywmU4gf1msbNp8SvQlyZJ8xv0Yyrf7gXKpfzct8iwjMrOuEuLrXYGSLlzrqoie4dczF
vuvHbHiE8zj8Y3Cm8Eq+sUmq18Flsm7tvEBHYdw2mbtH7uSftD67646ZPFmGczBpnPxw35nZWSQz
v4vLLJ9e5vo8g+F9oy7zfnCZ/Y2LDiAvmgCKQO5x5i1agbjoBmqREBpghuO5W4SF5qIxwL+Tj+qi
PEjY+6j2afWgpyZ64NmfD3NPgHaV4gbtNsXcdXfKV/aaYoXqLLLGAi/FrUChegDxQf+oltRjrP3E
OTYJ0e/XvK5iNmSSXqNVXsHdXs2WMK8rq+7u7GFEDUmqFdY+ha4fjyeRB+XWojtw3Tf9R9oNqt51
Ddl2lBWPhmJAng4VjUH7MBjhvI9Yor1ViBJHtGidri23SMuDMgKDEsucfuStcGMsoqQOjHcSM51x
QrGHBNNZufc8WD2tFDgsTOppdA8+I/M9dF5etDeRvQxnpdfQ59sEwfioJmj8uxIhkh+hM7/TcTZ8
SL4Kd5PgkYPxyPe72tjUXu1tS48fNYV47PfN1L5VMfgQLricsMncc1nvdHwKrXL8nYf1tHMnLztq
k0DloQ9K+5qhwQ8pY6jkV1JW1iYzGWc2XDLQN+M5QHSeU5xYKLIQKyB92nJNmm6bZzWZtoCfWAuq
xkqTLR9ms0bnTfsvPr7uVZNmQDdiU/B2J3cTHUK2ptWmj7PdIOhihBHn5LdScBnahrVQ5qkJ4tDd
MRELa4NRLGGqYrxxQZWpeR/gLf1wWl5g67ntmF+RYe2FfkFYgkEpcKdnHTYUENMXx0pCUST009fa
OfZxZ77nY0FUInb0Ia045mdJgHTlEDrd65RaDKq8EOcdP8LSwjawWGP9wxCFI7T5sI06vI08bGKu
qWMMhj7ermiqlrK0JHPvIVuWzakuJbnEJqBNhX194W5RSxHGu4Fij1WP/U6u8SCNtz74VFyurQp+
VGD5j8i/z/HiJl4hdBKYp2eBR3f2dmRr8amlwj/RzYxwatO0VqFJ33k9anPFZlOz63cy6k1V1zzo
cDARvDpvcSuo5jtp0bl3gQxaffDaYjEQxu1PBcbyFhgUq8VcChZ/TkkB+uLrEZ92O4gNzfDmH7K/
OK5xfHCzV+4VIB73no0l7VNxOFxjQTpHXkA+PHNKvAw1TTOp7X437A7uUjfyiJcXgJRipiRZi32T
ZNx4e9d6xRX+w+MG/SFH3O5cBahP5ccmtPJNpny+3wk3ZDBVN3ZuVKfcafiC+rK683kNA6DW0Qd3
ipyli5rcRzv9hC/pbPEqLAunwtqoiV081VDOMS1E9RhWdAQs3Lk1B+emLBtrb6rC+2GXbB5Coe2j
VaWHufBhMLhdmmwqyj53CT1jj9o0JyxOvvjC+VmcCW0On4Q2CZGGKRnyoJ3EeMhoO4+2HJLD90xA
aoD2ZdYAXxz/1KY1l64a1RECIITdTyd1fUoU3Nq5mjpLw37nTp+S2t0nSTUcsFQz7vdVejf41nRD
BaWjV86QTVcDvK4AGbudf08JzHkEI/pPHTv3nybHda8mCdPQbQqbmTgjpVulYiO5yf/OjFHvNbmY
5WXyVgcQueiUcjqI8RyirZuA962InYX7vAyiAzyjfZ35FG238UhdXYX4kbpV+8x1t0agmBpQ0ZeZ
A2jCpqZ54o9vxQGRfuyBRP/ndxMf+ENRwj2DuZo06xrPO6K56ExqLDguUW72TpkdBwk5Oc5M97ZL
bZN/oRE6uHTKgsuOkbOup4tiHXmtg7mX+bTz7Ppt0AIz+4TLWDie85AFdnuo8XjeZ3hcViP9srRJ
4vCrM0u8sbWsNmwD9Q05YnOL6g+81lnks2agDQwHPDca5y6uF+eRp9SJfQwBoKk7WKN3Q3J+WGNf
ts+TI2nroQWHrLdFUShmJ2bknghkExnbnpfxzg2EWgONAlJOBcuWj4z/yvpmCXLpul7Twcf22Yye
AFThsVKiH59cd2x2MPLZHdZB59ziuPYhvCTudD1k9Hhy4tLdahXZbmqj+jTPUSXPo5lU7RY1Da5G
3Lwb2LaeHLducdbXc/M89wG3vSi1XusxEXs8MIKf6gwk0+Xnr4uo3YKHTaITnoFsKwbqAXrHcaq9
Pafe11hkn5Bk1HoszYWAOue/MUuFe86H8oHIJVsmFRo3mYW9wA7xbSe8WDFLFFg3oPTundHp13ji
Mdhl3k3lhLkJf64H9x6wR+FwHijvAUlWHD2h/d+ite6MkGt3g/ePC1k43blUm2AVbsltYe9cLcJJ
AgFlH49Je3THGW1qKmf3xZW58+6k6P1NzJsk6tTZq1vaIZk3CPpzsYWB40xfs8qsZ4BW4s+gO4N5
IHDusInuE9eZ25vKIKJ+HfdkR/mz4gPu7+/aMWUDgrMZD1y9Jyouk/wubRx5AHpTbzWL8OlepCGA
lwkGod+aZASnBtruiI9HHkPhsbVLE7q0wfcM3b2waGxYOcRY6Uj6d+zrn1krmMKU0rMJVf/f1W3r
+LP4UdGn/nvq679+51/pbkJcPssFmxi1/7dye8/95bG9WOQW669mt7+CX5b45ZEGp8Le9kHXoP3/
12qBX2LOMgP0UR+YhTD/tf42iuD+tlhg1xEEghwKXwWTi2SH8T9jX7xtPXgjybR3B418WpfeWw2M
6NqnYYQcbaBHBETxFaam/u1rq4AA1cCUx5QGbqhhBsIxp7dYKYI3bfbUvOK92Jiszn8cdLzXfz+M
/8zDSJw/+H+fxNsf1cR/W2/99Vv+Wm95v2ygjLhUXIGuc3mc/gEY8M1ftuA/jinsy9MJeuA/w4cS
xOplh+UxS7L/Yuf0n+st7xcqBA+fzVRuWzy8/0qHoLcsyv72EIK48k3fQkb1sTe5/5uCqnq39umE
mXdVVhLILXMnK7CAGuKakqd4q72GYvjKDLdMC/C4ZZaHVybVGbsQEe8M8cncAgnNIVWiAFbgZaJu
JSU+G3pCBk/vZeHoa9DMsUeLLOznqG196iVwe52wlNRvNHhkm05yX1BWxhlNV/Why3tgb023WHGj
4lbZnk1TYNT2wQblnEklR9JEsp9sLmPS1rxxpE/LkRpVyBQGH5JVvWVcD4lOa+I4GnN+HozGb9pw
NfUUgxl8qUCT7RIDhkUHdnvZ0W4NI3Qur3zHcl9h/iCs4wbGFZvCQy1h82io7JLCB/qlCvpj2ux9
mIW6Vlo9hXpG5ozy/sjtXn/CZKT3UBJeDnW7gMns7FqoRO7HnkJ34aE9MdbH9DEY6PQAk1oySruo
LOZtwLdua3KHwnZB9xxBtOFBcyUhDu9f+1wnz0yAag3M5of71XK7RkLEL5kcC5OXIzz56YMmAfcq
Bqowo6QDI6KXjT0OyXzLOqWlgnLI5EWaoukgpLH5cPyz0UaqYoA1ENqzzGTAq8YBl0oee/6zGc3i
zp2a8YHqqCxAQVGywUsa1bcpTnhWnvB0PksvHurjQGzm7EYRPkRRDuEt/uxlCKl91MZcJ151Hioz
wzHJYPUf7J3HkuRall1/pY1zFKFFG8mBA64jPFSGygks1IMWFxcX6uu54K/YXVU0K6secEazGlTa
ywzh7gDuOXvvtfG2eLZCLWuT4F4O0E9Dt/dsf1fziD+Bl83DuCXvTpLcFxkEgCrLduy+6eYdixw/
sjQvGdH/39qgTFoex3rPrqhZf6WBSCuQ2+e2l87W6amSL2Q13PWGV/JWkm1n1TX5zDbm2A1PvoFd
e1NllvkKvMZ9aVqD1Us7dsZD4ATunWvaaKFUtzUHRbTsUAX22Iajwuzd62byCXkgf5AM5FtcHInA
djLPuBr5lYYdS/2GAa5cHbWumz2m5PgPRNGpRMB+tcO1VGFiK4bmIFqvuSVM1KMnPpldpjClDjsP
X3cziilsinm4qJ7X2CCX845zSN07TTcwJADW8FlcAYijnno2IO1MC1iHcrU2a7xkWteEHTEoyKbk
g/algzK4U/OEvbvrspEuOg2saNuZHQc1yBFg5dh/UB+ijz9eHr9jfetusFjWt6MIpmPSjgy7Oaan
gwLeAOFiAnKPACvp7DBi2o+gDZNkiuszbDlW8OYImz3s9Mx7qLNSvhhFR8HZxPblVlIe+DaZAGDp
1mux/Xj4x85OG6sJDJUpFXGNxGXlMlj+/BuJPLOeiL+OkXTq5ptyCGYzkoeu2974fPYDvJJYPoxX
LUmn6Zjmq78tTwZf4LCxC/3LcuM4oOUQx3nk0CnPW9EUATlLz6dzXOPLs9ga5md4FUbkqL56NcyJ
OvK0yQQH+6LIWUs4isWD4jbNkpQaOJ7Bqnxl4B33KsCzFXIUeVEiGG8Mq5cXjeqC57JzHJJEdLmi
v5aT/u15ubeXrH9uO7MBfgAddzf0OSQvlGHrjtrW+bNGSH0vu6kMva53DhNXEXfYllYmjI6/xsxE
O6dQEekqLG3RfCdD3zwsthv/5JqcDwV+v++OyZKZRucLsxA0EpqKQC/u6Qlx5K+M9bUPwkP6CcHv
xp8eZykQijwpJ3fHVm+xjwmxpqjHhTNus5zd6SE2pyKOKjVW5W3Neso8VrgCq61jZqPaGEWy/CKI
tyaiUxtLt227dhpJ38YQZuI8GHDqBMXtRMCKx0tCaQTkWojK9NLg4I2b/YwFDr9Pw1tZJnelrMqb
zgf4odnTNG2odsbxw4NnU42yPSk3xyqsAhrM52mqbtFGxmeylglZi8BNN4tttr9Vx68TdvCIobmM
U4sQp4R1TgiNLzvhUaFFt1rr5YcioTM7jLNq/tJtkc8YLufgMxUa+Z82h6C3ab0UHt0s9DrYY9q0
zK1ezTNJIeCKM7HNpnyUngecmpJHLz3HLkI6SDeV4OXnBp/deY3e4WFMx+aYI4Ydx9a0x9uSlsED
ZACuAqlVZwTeDJ8p5ZsYT7HX5ySrWLum/aM3qX4ny07/EP3yaCPurBCZWD3pU4HLDbstuiOoV28I
KdOByYxA4H50yQyktGgn97VTjgpC2yW3fcBZOrArv9ZOy3S19UP97UNa8+afBDr8s0OK9KnH41rg
y5j7J7pxgrPgGsbEYNqPhhT2qyaDiuqm2j7BcocJmHdJNI7z7RKU9hQql4297xTkE5eT2a8V2tIo
0dSvxdrKWku2zUW6a4KrkjhVeSuRfhn6553sRq3e26Vt/cHBidru9lrhbdEj/+yk1rB+dTq+C6Ny
k31G3uk5n9AKdh4JCBKgDTuxLcms/g4KLHZ8bTCD13ZtEzdYzzaY7nVhHTDHD3EYX8vH3WsReQVB
yaH3T/JGZ3+WlU8D9j9/kCXZhEK/667F5pWlMNN3a+d54wSkmIg406wJyvdOre3oQDEXi/CgI58k
bo4PzEwUqTtK0hqqEoIt+rVqPb3WrrPLoT4QnMopTjVdHtyWhSlecyV/ZElVegSqOYFSAq/COzRz
T6K6wxmQhsBKMiyCesoN210MGvPyvhpvvUlvl5DoH9HOxDHab6Yhpwi9mkEBJdZqQ3sUXxiyykOL
1vqlILKSEp5iljS4nZwVLlkt27aBI7xB607enTjpbhx8Da9aRqf8Rp9lfjsYzbM/CoeqDSKQxpYq
AecMVC+niHnIFdGn+lu3TRBw0Irflrppjp1YVdCBTdplKtDhIMVVPclO7PkVy1hMxggl866mhphi
HuAMG2oANLY6Vp4SbhA4bTNVdAqDcGAYgKvM8W1OK4J+gLJoO9N88jU0dSbPkPnTH6orLS7pYSyb
baOahS3VUmNMmZJKREvfIdIkJrkJ6LQYFvGBuUEUm/kqAKv4hc1yzc4oZcXmrul+AiQhoExg6HO6
50B6KKBMyk2XkyFjuQFtV19whhVTj1fFJ5tF6MHeQm7gFpjhhngds4BiuqSfQp773E8KPpWnxLfi
Q5+ULUVCyfiL/AtOE/zikWXY03sg3LIMZaeLzwR9lRR5mlpfU9Vgpxq2cdEs7+zTfwZsDJiF9QQm
kjkAml2NR2SJYNyusUjSXmhBtL1l6bKfoWHNW63v9DfD5mn0uroioKNPlnOPfuEfl0wS4rC6Er97
0regaUeylOCPg7r4bBNnYjvPDSIa7QbXOZqURkyyCdpDx+Mi7HkGHKesbB+bIBtf4h5YAVtOc2RJ
zClTS+sz8HA8KqInf3DQZOWTYEdYrDa1GYy/SHiRzXIEP7TlFXRlwVZ/M7PCdiJ409pPZ2vwKDAn
8rUnv3vgDqSbGHasFiGwaOS93o7Bja1jiYlM3Nf3BRn6J+Z5p9jHLuELpMBa/HYzj42TbPPaiDig
ze8+kYkvvD1cHezSRXDmwuNgmNVp8xG4Sv5yjMG6AYtq3leTIZ99y8eWbbWKZb6VuDPPWUKY4YBW
tCdRNx349Izprkp19W33c0Cf65IFZ9bBFeI34HyI5BjRSXnMFmnPXLLoM3UzPZRlheahSS95Mz3T
BXw/1lQCqHJN6zQWwH+ObMZH4Et1MqhpvB3B9ZYbIKkcwYaesEVZLVB2S92KcRGzwdrgfZI3WPSJ
1qHM4qJdEDKCfVrb1Q83CTimOKZuS1/PLbqGRb3lNSN/ONCeRKGSkQJByuo4RlVsXqSbD2cuVoqL
CdOEQ2sZJwM8PrbvghIgR41b7qow+T3NNCIgCRSPGu6afacaLHnOkzL4Tmi84E0HIfc5KSe/6VqH
hisv82FHD7IzPqGWtRErX1LCWsFmd2ZuRNNut1iezl08A3NakKNATZV3Vr7U943n5mZIuYGLlFhy
YwFYfBw72YX0BoqPoNQ96LnK+Q05bvmcSlFBn/BXYjGB6M/WbOqIlpvkiXRG8WbGlf6UjQnzn8cz
5DJQ8zDuyaJLUjeeifeSC0s3d9gfsZ1lXXc2uSy2UzX2sC60w+hzKKjrJ3R/ugKg8s8PARspHJut
NUQK3tB5TpBrQjX1JegDKz1MC4eLqKMpbd3lyvQbDwCHRYAhW+FQ1YwKuiQ7p6rTc4Lp9N414vRY
8gb8IiBcPnG/oMXV4tfgZEQJ6FCkM9EuHrgz5vZfqIonlzc0Zvx693LutlNgJ0+iWZ7/ZhF3/6cz
9t9Axd6TdO/l//xv/xfNiJ4Z6KpwEXU98Nxrg97fNLrg/BeVhQC1Lzojf2hHNrF26hoRRQDeCRY0
XrN6SqN//k3/cZfmBp6OQ5eNGtQmE7Pu3+/STDCjVKEX035Mk/KGU0Z/j+OyiSwdHymldGrHSOYe
5TiKn3/+nVf779/Zg/nOrE0MomHrmtH+h0LA1nEo+6rkAt+1tTjqeDblK42rnbvZKhYaqOL6+/+v
4v6lVRyfqH+6irtXdf7x+bcYMPPPf/If22A+mAxkpkX1j3v1k/+V9WmxJ8bvAAGUXZJLKdJ/rOIs
VnEGDUiB5zuG466EsL9u4szgLw5LW51/yIfddXXzv7KJY+P3Dx8kNsEupFEzYH/I/+z1I/43180K
mXDJfdd7pQZ56IxCfdSZiyeFw8E9xCZ5HoU+RyXWDlLuuEC4E9CXO/n5GQInrXsMmC9+PTvfQacD
a6AqYOexe2RZkk9nrajTLadQd8MgGuP8YSeWTMuHq2wiqVlk0UG4cafqrGnQtYFGU0zRkLTsgoyd
AvdQjocvZmN/EwuhmcepToVsxd6kk3rt2gDtI1rlhTOMIsZEz3gunUzzQQOm5Ykpsr6lx2254xZQ
fdFWh1HYd93POeNZx/cb7wDpaTvT1nDytOSjX0yd0o1Oo3rCBtGIezYufjuVAgO58F1jHG+EvThg
fA+6ha1KNMmrXcnxqNWNFbEFxTRcVw9tVuA8m9P+lBtzxbPAn+6U5vv7JnWw6EjJlA2PZlL3KXmh
g1aszXPJqOhWkpTuurWJSazPzWfQ7Sh9E4aN3EouMoWZbcZDs9cq757dxfDcB3ryI8qse8vc0X6o
2CxuGt0PcLYIK5zogN9Wbpw9DXllHgNzpn56EPc01hpPgJidI1qoOvdVnN0MqV+/jOxU2Tbo2Igk
xd18NEJ0xvxjRHKk/NFnphKZYeAjGL3hyQ7y6kL9HyVWpO9R0VQolSveXCRzpua5/XKX+I85n/0l
8oLpNTXbQ5E6J6XMgsZYw3ig8JzUKJ0E97k3Bm+2O7U3gOfts4VKflRqKb9Zngyk8egfWUOjzmWG
iHXB+8yJg12189U6SpDrTdD5Jx48lIWMp0q348sIvOTgrZUGveEbWCo181bM3k/cnQ3zzcr5zjpA
3Sfm3uZUOlJGS1xT9Wnmqt2CWE4SYkltvWx4E6p7AmXFJUgXuQ+0ZX42l9IggMpOOLEb/FNymS/l
TCdlog86orkYooSpKoSRNUbK4A3iIGIGtxUM/oZYUysPOsWVkapBcpea+4ciT37pIVVvhSmCHZGz
KaRpdzr2PBUuPIaegbSJKCAau8syz9/JufN+BRzj2aBXCKypRlempBAgdGjjYDZnKso7ZgSxzMSm
ak0Lp1lhAp9xhbuq0bf2kjHM4C69rdxmPpgUSuzLXK9IyGMsnrp9ZdUEQP2lvY39mKbc3A+d3t2s
5Iz9Aoy8rQQTCFUwjKLhaDafTjrvOddnZw7q/qZVevHA6J8xP5NuLZh1bAxEO2wubGTirD4jlPnv
RTbRs5zo9fBgZGJ8dOv23Xarzxp4v7PIG2CzXzkNBPdLXPiHVuvsHTvFmJvP+hWrzqeF3RjB4i6P
o7QffSOb6Rbq+khg1nxKArC84L7rDdsVco8ZUA6nuUC8n7ZMVnVoKJemALdVr2kzsvIF6Ytnx9VZ
mLCSaObaOLNx7k/YO+yt6lvvp/eLeEdthXXLJMzFpHtoERw2nyzP5FWdcDDZczCFEmWXzEuz7Pgc
11vfmJm72L1Mr0lF/a3l5dR3F1LucMo0p4nIzprTk/uhyedj0TiE6AwpOTwsybKPVbzc+8ni7BgT
KAqy8MHM8TxRS8C7PReA3hzoWHQkpf2+CAR6dew1m3ZW9t5UJKA2tkvGITfY2c5FMxNjwOZVgXAA
IdLEr5zrl5AIHKyQYBxOupjqEwFr/0D+ov4kj9njuDH1kO4M/ZGLHHEbbSXewEd1UfbplHp2s8aD
4YdXf1vUk2JlCEr2gpcBuH2a+dYuH5jpJ9K631NQPVujENt2zvYaQFUSvvLAMsqLeGA4b0OtPVCM
c5kxZsVxHqaw0daNB80xi+/mb7AfFzZdfg6dou93TZMDR+/KACP/atmxulRidFNc/z1zEX1Y2b6n
DfVeeuW20NlpURga4s0ckDu9G5XTGkUfFDQyyz7nC2B1lLOnehmms9Pw7EZnt/sn2AnZun78Lhg3
DmOTGFFMNiats4ccgnZU5ARrltUPlEnd3vXNuOwtepj2lsMd3MHRHE5EuElhL8MPu62HdPCeczww
uLL5AoA42vmtzbltbJK4yp3D4NKqwwonDvUe71cZd4AN5CquxPNv4hDOo+5CleGrh6U/HOIhee8p
wKUN/hdH1gvdEdtGgxwAGLvaMuPpG4f+LyywMr3pND0/kSSxj16O1T3mN3916Fx9l1Y+RpnwiyNP
iUPdx+1TUmrdfhYKH5QxDCOiVlq3b6QjkrNw5/7Oq2aq4TWv/0GgICYJoY7H4IyiU1T1TjpsNrxF
Bo/SBcVE6nfr6upNmRQKUUCvxny5GFVy23SpyWO2rLHX1j3JMZE15BdybqpgjPFXA0sZLXmD8kOo
hGyBmfZkyHO6wMt8j6OKEVXkmGnJBNOKtvTHjvwZzUgtfXu4jfhbP2AnAmeHr5JXsYRZ8WQlo7hp
8bNPFv0k3hzjxwSMMlKAenaIjdf7Ycx6F3fX2H8sPIZ+cgzxOLn0EtRFilFldrHIRB6Zs1/kx0m4
6oGlRUS0KzMcy0w8zIPeR3OLHKlh6IicfoUpZATQX7j15JFo42kvRS0prJjHvW6yFFhWC6ACTEFB
e+o+aQDCsSTPSwVIG4NOZKXyV8saY5LCv/M1R7UbKAMvZHco+mo4oiR6+1O20/SrrXAPM8+7O2WX
PL0tqwoeEF5fJm+gcJlmgbpOL8yRO1z9ILIs9UbvwnO3VNih68J6MJyg2dVBPe947AW3Nb1M2Zal
rveWO5ARG44ViVN85am9h7d0WCT0vsw7jP2o2MZiy4wWu0oqriyCOgme0ZIdXZM7YEd1ccAvdk9Y
5LHQ0y8eaC+IYt/Ssff4iJwLLBWxSww7CN285bMLf5HnLqewOCVE5npR7i7zbSttPYyRgyJrtsUl
dtJdycowJQTjyShIbXVJdHvZeK3AwaixCIpy6Aq/uP36N/MiSYf3g2YzzwegLg1OnXZ6oYwwO5MZ
16JsGK0DHij9gVPc/NTk5bKzh9G5N3ws81X+bSccYKvJVmfFGx2KUt26QLhOWkpqSDoOxktpymgF
dp9iM1tDb8Z0sLRBDyHCfdBt2AJ9KssbJnce0bS1A4JFgxDSnaJmSZ0bOca0aWq2OKE0mYcWzNxJ
xPm50ibxruARvADW9SOTNmprU8waGSfE7seOwfAuiKljHvPmwy9rft6go6GZpw+RBfeIRAfnQvRv
AumY/JITZSZh/LkSe8rG8lOsG9qrk1X+W12N2jYj3PVc211UuavY7swIhXRMaD8k+xFhMsN9oKgm
CSf2N6z+WMaeABOVh14g16nBPZChc3lRq+QGGic+U5+HFEmoyOpr9dqmvbiBkNG9N1mDkuiIddPs
Co0bz8ouHAvIT7Ho+Oxk+KfnKg5J+mg7dK0gXPAz7ttBxc/1nIoHQhh+JFKSSFbXWhcIq7TnGOX4
2Jhl/dolHbAYQoJrDHN+xBOob4asL7+byqAtJXPrPwKWLvtpbKmmE5ygUWjsG0ppoYauleAfhPuh
vQ5LDhQFrfBMc1j2lCSc8tiDiuwFsDGPjLJFtldxcjFKXd8nVqVfDBgnERgKC6aDlMd4qYwDDQDJ
79pegNSxcotgxFTftlDBBfSO8zIbBv6yfqS60FLynYRA8liwGn9qKKw6jb6/ZteMbOClZ13Hmjjb
csXkoZTrw7VOH2Ru75bOSTmwSfmi0hgDs5zGiwe9OHRHUV9sCaamwve4XeL4Z6xRn1HGU3dXlzNH
t8mKd8Xi+u/G1CFd1ZX1OC6u3E69Ic6JzF3On65zmHvH+c3IKrYLlUI/bU8yOGAAPKaz39y5SZZd
BiPNDo5Nxqm3a3FqrEDnqWEHO+i97NjM7L7QxhqJgpO5TzgEWdRgyQXR72Iu3R1FheYaH5BkmPrq
5C9EsDatGRx7luc3ztgVf/CLim0ctN4Z/JwNZasHxIbL9Q8nXr56mlg3PpBrBHYfw1KHY5PvgtGb
cjpOjHV8jtPkMhQFJ0cjuDVB6EfYWIYQFkj2il98jsalfG986s8IEHm3rUIMdJZ8V6PFhY0px/M6
5EOOqn/gIOwBlAY0igfzNu7SIGphu72kqalR7EvQN0q55vAfs7bHRUnTruoMcslNgbPVrJ8TDvAx
s9zwkuiOu9GE/kTLWbyz450/xnujEMUproaHfHQjLxm5ucwcyXV9R3Zzvqz96Ls+AXQG4/4ut+Un
H88JRFNFESEOazToDj5HDyVuDFx73y2GhSigr95fiw9qGdPx2+V4aMv0fUn1S8L9c1vCOV/PBtkO
zw4W1VYzt8x58QE3IzKfnXUPQ1tmgDSkOAwyWLaak1cHnhT5yRjYOouh8u/UMtt7egfxrzrJ7eBZ
kPg5jSanbFI40eFHga4rcjDhdPhISHqB+UrjUzitkrEo1y6CpkzAV2gsQwvnkDY3he9DEk2G8abi
VsjyUpuGJ+nk9Tulb1w8VmrEX11cL9omTj0AoXoqJj3Uh/yh6gztcbKdqq+OnU2rvU8TGhl73niY
o0V9yfvc+M0TsMPYiQN6STt+8LwQNMRmBuhm2IlvylriF9NQ4C0H5pZNn8HU2VT1NB/BpRp7SI79
nlCWi6dmKk4z4Y2jQ2capcm2vVeD2X25XY6uAesle29QENFZKlCcbcvFOHDz5KUJzrEwmiMUVf8Q
mCNalksZUdbIPuIL2G/M0uPLoLLqCQqHfSk8E4erUTfLxtW7O4v39MGsTH4Y8jIviTn+tGVubpmE
slOqD8bdbPD/AIyg0lrWwN7AWWVr9v13PG2NbWUD2+H0QQPWrN1ouQ5Sl0jazuNgsQkMoa0GHiIJ
JqACjunwqS56G3hPXjlpuLhMMkWED24p79ji98AElTjcsYYkOxDCLE5BBwsu6JtfVDJ8dO14u8yZ
tsnH7Lso7Pzoie62GjrES0SCdmNNr5LhBzM/gV5jvgXg+rsRtXYCdJM+/D/Ze+5/mstH9SP/x3//
mv79i2QC9q60/19//0f555+TnyaiPf3v/rC97iIf1E83P/5IVfJP+UJ//Zv/6n/8t59/aaPpmf/c
5vr4kX/IHq/r3y01//xXf11q0jjkuVQRXb2AAPb/T3+RG/wFAyvikAO04sqw+M+dpv4Xw6C/gGwX
EA3Kjf7T4mpaf8GrSDrWsSwqjnTH+a8sNX33H+EZhkkLEiZbNuOehcH9H7bjhF8nDXOR3OmVW5V7
LV75P2bpcNqTQeMeQc/AaJATPI19cCUHCddc6qhagUKyCzSGHDPxz+ZQWLvRmqwbF75fFjLpQCPy
QFJQ2XulFOWqMtVNALtIXSlGhfDGfk8kl03cMBCJRoiH+0bdSnyruhFURlbV7jENZEszqKqqdu/S
bPi+ZBOtbwYstGQL1ZwTIMBqQuF6HSc3NFC6nxYS9JZkzIidL/Dvl8JYbgXBvi15noLMQdFsW6GK
x8EE8DaYukbYcOU76WXsflZFX7+ZyP8du1K1Ouwc8lI0KoGHGnQvfy39CjSBIJgN+XaEDrn3hmp6
kjpYKYIvEKb0FTY1z6RUWlLH75ZvT2CcSMJAjkUlhoV2pVVdyVVw+umTLK9EK/dKtxoqQtGboQPy
s0lqq73jxiu4oRgqeG+vhCxo7ajw2ZWcNRZiTeLjsbxAyHPefajWcLzG1EBaDrjOpbRK+pauTC6N
8IN19gdQynuJ1G8cGxghob2eK5XqWToAmJD8AtyvYFFOXbUTWCk/rV7hD8nt9p79nP2dGsb0TGQC
bAdMMZwGI3LkqSX53GysdqRBvhzbl0rWYOqutLHKoX4J25RAAtUX5bykVzQZRF0SLEuQrRhNu3k0
3CQXW36C6WUY+/K+bkX6UBgI3bsYYt0BBr3cWysLLf+Tiwb+0POJWSmAaf7KTmPtNHQn1xgNLUTu
BK+Glj2bB82GuubIFcAWXGFsBtIuAjZ7eN4zyFQbFsKE9cSAqE553NxuOByCj2t5aMQALlfmW3DF
v7krCU6V4/Seu71/AwIwKDgerdS44UqQS4MZO4Us3JElUwefYj/+iZkbmbm3/RU/p9MrSB1BoG6Y
x8x1g+M/F7lkGqB3eeD+L6sqDIZquY+vWDuIkg3SPoU/2Uq9M8i3nKcB9OC+hBhFJabh1++k3Yuz
563YPKPp3C9SV15kXLF67N/6UxbPLrD0aa1ChS2yhcvovgdJDu+vMgDIhI3SYEQzHgTgFVsTyqUw
u6NvTX2+Y+mgdnoD94yqJg3uH3N+8giSgOC9SPPgTSe0+ZqTpfx0B98+e+MA5URfYYL5ihW0G/9V
DUT2QhoomZ16w/7wHOgRdwmcZ5cd1cooDFZcoaiXccYiqexTN9grx6xkbtsxoqg3p0nlZ5onzJTl
lYPYXZmIZrEo61DMJqzExNX5zjF+REUckfPtWVzZinDCcCOntM0N4UQRE3msP1mMVy4jIUoalpbJ
NiKzNSE3Bj7q7QZtl8ucc84MIUgPID1ixgk+GlvLSMyvFEhzBUKy8zF2+QqJrLnCmaHJxXx1rttc
SJg7+0nXl5c0IGiHKgFyslvhk/6VQ0nyFyZlwlHzt7bUFl0C9lqM0AQ3Pl6ZZz5RpMoq6hPiK+WS
h8n8Xqi5vNA3AwUTz4ntIeIk5h4rWB2s/uKvvMM/6CVShPOK06yvZE2VG4rxpV+Jm0npLk/cbJzq
F67l+MPPNf9CJB1Qp8v54SSTtniDqou8RMW4R6C4rLRXsZI+4aPp7ODZ78N1a0GBcjSGSMb1faPr
ZvPdWyJguL5CRIH7F/6LfYWLqitoFOFs9vb2FUAKt4iGXEpnLPO2Wxml3kor9a/gUmMk6l4x4ET2
FWwqr4xTYKdJD/XUWvmnvdmqj3JloqoROqq5clIJQGlPNrezCiOCwGEH2hA7J10p5tpeOnzgArPc
Q7byV1EEsEADQBpQPHr4rCuptaetq90aoAa2Rms19aGLezt70u1qcvi7cfbCtgHwq0r9cofz2DoW
kwkYlpwm509KvIxv9pjeHW5A67emDdW9ORvNzhKTeinB02b3VYqIxA/PmQ6a/Vj/zlcyLa7NyQrV
yquFiAlWI+safwuchu34MJSj9ytZObegEU1szhW1Ns6fIFxJC1EY5wk1b6gzPTUlsYNG0HgV1Qcr
TNcZZqy1zhLfqyts18sARER+73HXslcer1zJvKNVxKTMGYrMKihDeyX4FivLlyoz85CoIf1FrQDk
GcMftu1K/42LXr3LmZXLJqlWEj8oGsb+9TrU8M96NXN/Z91BSXxU4NQjyxWvTYKNFIY2kJgcE0aT
OfE5IyoL+0/a31Oa68cEZCEZRDxf/dDOkT1nsI4ZX2Ph/UDo/+wTWyM8St9eH1NrFCpW1vSEJZP9
2hcMXNum5U6Mw0UGOCsbe7SONqYiK2TllbfH0aaUh27YhtYIS3MdxKdytjCYYQxcdhMu1mkzpf53
04gG2onRGy9p62vLptX7zDmMkAmnCyas+jsmQoC/a+CoY6cASNdRrgEORDXtEuirUTXXtuYg6KpJ
WT1jIvEjeq/YtJVWlh8bqg+2aZ57j4UDTtgZYgAEhAe/sI+Zf/hZ3L+XviWjaZnlpyasJmS1YGfR
qOM03dhO7F48lJVNHYw1+VVoVpCcOjhLN3PeaNqzTbGAIPA3ZE3oY9SrI1Nkw3IRazRgW/GBSaKq
xdu1TeLeMrZDl0zHNtOsiwAbmMEFtBLseIay8DcxYx6DxZI/vogRktwSPIjtt+WxqkDchNwRBmLS
k+7fLQtIWOBaXXA7Lm1wo9MvNSMrqvSzaqUFdKLTyCFi1vxszZ6qGPhI828dvnMeUQeBzRf1lyC7
wpnp7Rmm6PrpdcxxxwTXzb6aHSrmC17lW6OjQ2ejCstbU9Puqajw72MRYrxtXFO+cIgiQFFQA/ol
xdy9qaZPTyXJcnrqTZ80KA+l6ZJ0AXJpiR6v4Sx0YgNOjpHfKY+04MZynR7mvpYukVH0nXvDCFaR
szV84uTc7EAOd+vTjwEd1PWk8/1I3yy3dFRkZjhhZiDJTi59DJbmxcJT5uFzypqjT0/FWz4KlR9I
JYqHgUg3GBgSGfNWZXzJG/ShObuDDZDcTrmEYG8RYP5AHhAPZlu5j7HsPKI8ptujgFC/zVZGmXxO
oOrwO1ul0neDzKOO/Uc0UN0zbjQOpg9O4oxnFfPyhDS3L2vh4eK8FCOnYm4ZKTzeTKdjZeuntl+9
Jk7e/JhdBeylwBrHXwHu1m3h1y1AyVVffnBQiB8pDCVK4UO+pjFaUJ3LZRMgoxRV5gGsFzmrFW7Q
M4Uledq/FLFtIHjxjL5TzRyfazVAOqOB5KdSjvE4FkMqI6MNyod0mbRnU+jBizlMRJKHIPhR1qA/
z5o/nn3H0d5nGgyRZES+PIxNrt65/3JcsEVv2mFFZzu43NW+PMLqOerUL7w22YyHWvGMecV+QokK
CXsS+Ump58W+YR9PrjSwqCZKLDyVnJR1dB8d3c2nBauOuwN6Q3VyvYH8TTOk1jGTplvuhM7ii5UE
TzegyamY9zEiWXZaerc4O8qexVHZK240y0uhRSoogz8GNIUv2bGYXNk6tbmVzFIvdj6nUM7TceqM
vU6mYa1g7FL7RPiKJIkFsDzfOUSBBwu8XxNoH00nvcMMJ3kFIy0lOaO0Bgk0hdAB2yXCZNP4b8gE
hv/oAJdGlueTBtiMyksHglmsPqjS3sgZfthu7KE+U3XqbROaXbT9VNvu0eJ64oO5YO2+AWVAszWm
8MG6EAriwEq3B3Y63/kFhEwspyKe4YcFnAnuS2UsNdn1JUjMm9JGa9+nqPrlFmaM2po6vA8rtKph
YFIpCaEhg9WpEOI2XRqOR/TxgFIzjbayLz2d0vHJMeSQ3vmjpwj8ZHE8HnKJTDBRNPRAXkdoJMM4
k5Dxpj90H4jZsXZyWtLsiKSYgSNP2q46EBJC5qfLY5a/qwXcQgAGxV31Xyf+DTWhhjI8JYbHIam3
YsrRspGoD45H0NYmIN8sNMyZxm/IE6b+23IH/IZd39HCKeJ2RbA6c3DD41v8b+rOZLluJM3Sr1JW
e4QBcIyL2tx55iCSIrWBkZSEGXC4Y376/hCpLlOEZVdbLrqsOldhlroSee8F8Pv5z/nOcMgDqzs5
U2lBW3c16B/Tzvct1mK8E5E3fkkqGPbHKaVTbJcgwAerChZLdq0df/DXaN41RTW5rXcAiXpj08aD
t6eVKIyAquGJ2UkCY1BlKnrPT1XTTY0NWdk2sQnVHu0LhuEV+m3MGbdlM07ltQDI6RNbI3mGJRgf
pDxVJiVfhwgUBlZEt/STFx5Snl6KYSvGHHMYLux1iO5C19J9+QxB2Mk+LK7h+iHu2mlTeXIBNTUR
kQNTe/191oThW8ZwB1V8wgWw0fw64HdUOs0HK2Yzc04MNgTbIHJ9hz2B3+58YDuAywJlnPFgv4UZ
i5JVY8HmT3Jqdksnkt8MMSIYE6a5z6DUZLA3OrjqOZXhmAlxcM6iB9k9ehIfdwQe3MZkT88AqZ2f
GG4M+2gRlDI2SAwkE9simT6nWAmB49BizYB3BnRIQx9CR1Zp3XmxWGhneJJ60RgOZa/FYxdr7k0V
BRXneOSKZWqJcJpEAfyHdWzE/Yf2g27pxwvAsNWegsQzcRQuDqlWeF51P8UvOhYxn0ew7EQKDPl3
kycK+4pBrI83vNpEZq9609g0WR2CiSyTkaJAZS6BIJAZDbd+ou6NrZ9BrHBiyjOp3kvDq46QgY11
4fnRxZeFXpCns+XRCejCoppLV9wROhaP7IqdPV3Q5TFjszpT3Mfb4Q2ewrI6tk+88+HBCWN6g9va
Jxg3zPoozWp8j7UZv0xT2n6dSHpme2jq9qkXlg/WLZxwtwXYVmOY6XKdY4I3135tmSW8EVdC26Gs
pbiFXYdZZxao/TuDXwxsUh6eA5aToN6oVALcQSa1Qf9vw41WkddsWvruQJEC1us3A+2E3LGb0Nv+
P9Etr+mnqnX9s/2rUvk/UrgUtuehNP6f8/lP72Va/Nvt/Xv3u3L562W/ktHmHwKVEdA2GEaC0QLD
4y87pvcHvkqbflU0SE45i6j5KxltiT+c0MRZbIoQo2/gIjj+8mMGtLK6Nq9yHEImLK3+pXQ+4eu/
2Hrh9drE84Xt8q/huf9bOF9Bxuq8EfYOt/V7iwUPSY3mW+mImBbWln6c/ORw9ycASVvnb+/UPzFQ
e+LvoWxiN76H3Z33BLAkv+hfraAIS2Y2cJltrcKgmWppyjJamrTVqMfVYk5Ds8jsC7fMZN9JMyXr
Zpmf3GrjbShHYtpJCyBgFRKeufUuG5BxHt0zJ3wM924qTo3i2k+VDq8i1WxC1UT8NCIuMsHLgVKq
pP/A2O3mV7nkTUhXPgmUjbXPIuvW+zNFWTOP/DunZqe66Tx9ZXTNU+DfOLVcwuQLvq5l9arFzQfN
+ITHgNlFUnn3oCae13agjSefHCI+0Dq8GwSZPt8XDvG9RTIzjOk5Sxu2OD6VeJT/UZNaeN2eW4p7
DtEI9gte6Dg7qOKYKw2D0Zg4SX5wfOoDfIIjeqOMtMMPCp9HnBvmOCAovoj2ccoMi1ULhicjafAN
Qx2BldyW9iPSTSzXmhURd3CDd02L6TD1mb60mLs4nTVJ+YDztAewNZlvKCmaU5FrVNOapkleyjJo
eKV7LsnB2Q7ll0ror11juFSaYSQN7fYcVM45BOxziDOlD70KYJU0xjevM8Or2TmjB8+GrEzR6c4m
yZIBPiE2MbaHuRzHW4c4xIeV5+eelMSe/th8b0PI69ZZE9SXir31ESMrCkafDE+xqLM9J236WBWn
T00R5nbu+Li1lZvvReWZWyx+OgJbWo773AjvSmCsF9T1eJcDVbsKg6HV9t2K7A7Pb9/QwcGigmMb
cuW4m7HtrMuUDolcExUj3psNkcRiiDGjUOUMv5R0Y+yT7MHxCZIVuOHGazv91Yut4Kuf5+ZVZpLv
dOyeA6vBjrt8z8mhF2umcucqJhU+9cTbV0nZtRtQOnorqDFCoAgJvsdNMsKVC/STjwk0XLmwh74E
MXlimDceqOE1bVb4fED5WrSAMmd9y4JOWDtJo6HJW2xWzSbXgKm2iTW4+c6Z5xLRZLApuCdoPt+C
yhcflRO1j/S5M4X4RP73U4X7ZBCR/4P6XPXFH3T4vIjauPmSzvhG4cB4SbvSeRJ4F63NWI+NT/4B
dvS2GuF1cAx3I1o0DaPZe5RnwMSGghnzgCIeeiQ4NXzIacQQ2rN4vWTKUtY3Uj3TfvbdaR26VgCZ
cfayDz2q4n6gJn0DHbB40qntUhrXHHWFkgCa5ue8TNulGgdIa4KGXeJG31My9YcpdtMruO/kCNIM
h1Yk0djjRvTYW2FEm27KI7UbrfbZG+zwM4tEdDRqb94YLiNARYaCHI8uXbJvTdZsUsyR1xlk2pYQ
k/oqooIFdTdYmHdm9z2a+2pHt2T60/Ysi9azoXqsjD7AOBFa72U8e/dWR0tolES8hWOgnznH1fui
1+alJaP3mmRu80Jpkngm/OEcE43uLXmERxs376ELdV0+7KXWYCvQKUa9Tkk5q080vCo+J0LF7H+z
InCebQwtw9blla9qpvuWo9DPKBLUZDmT2c1bC37qfCAmM0NHTLNpS2aOzpkExSFkog02WafYVcdm
w7HDHSePIKsRqs2Y9ek737RxWlUR9UR0eoSpuTFS7sZADvA5JBg7qbyThM42YklKd7TChZdWTuVp
FhRF7Bon55gSGHZAB2tgfXMNN0RRm/tjY/rRVy3Ag24yox+orKmG1NhieOSyIWgWvTMzL+2h2EXP
hM+Gly6rWv8YcaqImPLy+YFe3qUNF97yNoKa/l5lo7y1WDPtU1IG4bY3preJpK29ofEv2ld9YXyp
OiF/4Nvtcb3WyXbw7b7bml2HGQiXcYtzeSqrV778mIOxUbJ+R/CgZoxOTHZHndsglzZD72F69Jul
2KVtyPY7g7TeRtmLRTbIrSUYVzkr2nbaN6PCNLz1wWV+pZXMfG1SKK9mM9ufadfaa+HM4SZsZ7WD
9qnvBhT271rM9Q2DbJjh7KRjGGf3DLG4mJcMecy5bc0fS88oyEhpsfTFEz5dIuGDw0W/qp224WCr
+AHAfuSLmXJGbRwsovUQdqnFXuU6l1jQybKbK4on02IPg6Eiqxq7Xbm2PTGPuwB9w9hj3A6I7i3P
HUK+9QuPngicLQJct67HXj7naTufc6wFOz4yTNpZ0FLQXIwXbIc88NDGwxWwxPYEvprIWZEs3Y1l
XVb3jOSAIBwuB3wWPuZUkGb0gCQJu3xfULxIMx+jOgZ4igEu5aQQLxBfzmXYDPskR/FZsZfNqjX+
WTCvoRTJo2GBN0Lsm/WCHxnM5ULHxUga1t7GZhh8p2GY7203UW1M20aofyrQqchvuAfxwI40rZgc
NNYQXZJX/AjOhkrO9sHIyWu23nifQFh5hEEcv1itS/GOPfnrCO47IfrERgOpSned+KG66CRO7rQP
6oO303CeYdD0nz3Aeq6ZVPmEIeMJSl1CUTrJWrrqheOqazAnFwLnWyQLHshdAxvTrCUThJ089SMV
vDRD8eLEafKbXRuY9uCE3ZzR8mivxN79OLZANBEEzXMSQesrSyKHBPdZ5oFEXiLCzGS71IwreDPi
0+kNd8MR5i6fYnNVLnxMJ5P8e7zQ2/VR6Z/wGNd7gvb2upSS6m2SYMsCowrugbXjxfA0AO1NbhMK
5eQm6zMs1+CVp9zASY4vFXMQg9DPEhjjDQLfWByDFAq0Z2ceKqQghY7IxQ90tJMSP5VNdJ0ark79
YO0QtHsnSNvPLqDDcle2PSeuXkl5wKRoXkjS9mSbqYCW64xuL5dbq4vJNcS6PxyXgNGC6p6Z1nKK
fdluTNT8Te3creEc64CRz+V5KLu0+9pioPxKBqnY+hQ7o2syqnir1lvaxMwgcNJt1pjeJ61c/oMD
LuLFmpf+qqZP8yXhLMkF20xfW6VNOo/jUgPYGXqup3IKw/tGy/mWm6o/qMp3/nFSNG07uyNYG7yO
WH7N9Wh1SPN5QDzlGI2pg/MFHjcfHjdwuV72MOkKELT6EeZYAykIs0vSr0M2fSHDBeSfiR3prpoy
0z2YY60unREmejvFdX1JslL+bCne4BafWRRY8rmw+4qoRefM7TncxPCguvqimqEY7qrS8aiWZW9S
kbXt+5lQN+WXd7E5BtUmg54AUGWaeYOyPEwxZTEQuzuX3PWXXkX0PMBfp6kt6227P4Ve0wc7i8jD
LaiL8NT1fhEw9pgjE7BHoas1OflJ4sHWTGt2QKJxsL9SX+qhM4ZZf7IcPIGllYyXmZsOzZjcKp5x
CPTVGRsPUQMzHZoBUQ7fxwZPn2JkhYJ5BuAOlwCCwAigfkZQ9U3GqO1gVzplTxLonoCrx3KazyRU
p2SKoq8FhcQvimLU9ELlD1lxtx3iY1GTscSSZfwwrSxCqLP+bH4yquM0ckhf10GSvbKahbKEXNJ+
5dOWV8eaAWfOpWiPLjfzQ6QL+zw7eCNCN2ovJS5fYjTRcnTnV99O/BAdy1VnvMneLZKNn8QRPYGM
R90GDrL7BI2Hbez/5Txm/T2ZxykzNC3PBwcHLAt7zF+PYyy+QfOnDgVQVF+yW4k/qrT6goD0KsLy
C0wTHqw+xkKGzG8aA/o/fE//MBX9k/Mgbpy/HEWXf94zzYAUFXE901z+/9+CgXmk7TIfjHYL97ZZ
UY5dXXjzi/N/fer880T7e5B1+WdCezlxmvw7bvi3Q+ek596mdQSfQcwyqeshXa59QxjBwUlIU6zz
Xpb2yg7h7VY8nmxyhQ11Dxb7w1dgNS6lp1V38WTZPuakcK7LW7b28B8BwCFQgRFFrtNFAaXtPvPb
ewTaOtr990otf3GM/X9kJLM8GG7QSf/LeOzTj+K9it+r998lmd9e+UuWsf74szgpZHEpBDo54sQv
Wcb/wybq6iDY/MmkW7Kw/1uWCf9gYsDkhcHbBrkY/Aasc/9g5AlJRgcATrDI/muyTLhcbL9/TT3X
FZZnw2Ek+yMcexFufrsa0jxINdGYmBGkffRQ3g9lO9rrmplsFxrl8CMLpgr/dxgewDJQwTwWetcn
njjwpBC7kP5uc9vzvQQ0wrnvQaNU7ywih8d2yTYmBXs7P4q9q4DYekSvrHctWvJ3ZUf1bi7GzOev
lO2HTiNTX7OF37dSY+q9cuZMXlpZ6WtTKw56lMXReqE6Mzj740x/8zC0rH9jN6Q1JzMhVcSD4vji
GD25puEzgnjPLS44M1L2ryBQIXvV0iZda3npzDOOJmfl4fltuAXQ56IcdeRQnD3DYHLkmsbjgeVY
MYZQQGhOqtYVe7K7HGNrvc4cuhQpsw3daxcFaYVlxHefK2X2byEkf9C6ftoeZZhFT2yi8eXakK4o
cGy85DblCo5JZ4xweVrKuO9angAvqnJTihVVap5ZTVarfphuFlanA8fB4bM2yxJJveB+pQut79p8
NEiCVLRFTIXlvkTmIC6tEMZTkvvmq1FXqGisMPvj1PTDQw9Ze6tEHH8PJjBK69gblx+8gBWV87N3
CZJEHUBXBhx4MWnu4XA+FtUHGHEQ8YnJiMS0ZPNDBiHuEsGBMjcz6w73AcN37lP1HdVQKDhxiXaN
VyLd28xf7BMtdXSSKNj0ejjBacci29FGwm4yeexGfLADLDFrgfEyauOpjqgvmYf3OGmy0zD5w5Uv
VJdFKy/gUODRurmNCx8XtQo3/agZXUySyeGsvIMPauxF6rqFOWE0Z8tg/jQMv2SxODZ3Pls0+rfr
Cd1vEHcJYb8tKbv44HWleeYTjY62oZtdOefmt2ae51PixNE9OGGanzO+qIpg8EdL/G9nilGTYiRo
TSzqqWmG9RCCg4uyLrkHnTsw6yr5jBsl2sVd4LynVjedU6jZLCmps/CYcoSv9FfTlG9kjqaV5TMc
8TG96LDHG1h1LYQbOOHpl3IcDrSH30sbvZ58sScJSc6MHQQYV92IqYqygO7gVq2Ua2a73F9J4s1P
XAeA4KA4PYa561UHThjZqWC18qp9M3hiH1/DnxKWCPb8oZS0wSgAqKSqmL6wwW0O9Me6N5O3D6Wz
xVCHPpUeCdFBOSlrz3mpssC5uWUgDpZa7ERTSR4h8of0p9kXcqeA9LSID5H+wInE9NF1QfjkA1SE
pZRyo8DzpRaMkjfdJw6tUxwsMPtnBHNgVwXxvaSAk9Mz2tXjGAQTaECARFsU7P5Nphm+zNQZTpNZ
uTeaWjmQDYL6+sQpGmIHnfUY2o1/COYGAHgk3f4pCKk260p/OHhU1n+ERVo+Ta1dq4PtZc4H3+/0
Z+L1QgDWshrWepOdvFtR4aCc4VDFBJP4PmEDIC6TWdJrI7JSNLu8zpr9EDfY1xbT6V52eXWH+UI8
9XhsT5Fy7S95SaGaMjDmrXhTvPsk7WjBtr3G2poKd8y+M7v4bh4y6wFPh7fHF95e2kSWnxlfYT7V
SNgvKHXthSCpYGCamwP00aVHpghuVVViC4C0QwYKMdY8e9BIDhxU4zNknexiBTn1H+zeCaIqw7Ke
DNejG5OyJ2PL9evf/LwtHwIVm48O3bESwxB8tRPTMLHsojTxOGEH/xzmBSBXYv/yaWxq1qRR1sTq
Thk7W675DB8BVsAe05tR5/u0HBq9zdMgOQl6Ug9DWN3MTIHisQzX2Egx0n8ZttZhDKzywcvaYe1y
4W6pm0z3AKNTwkdz9UXTm7ZqdYrSkoZ39NTFV9rWgs9chOl1iKN8Z9n1jPTe9ufYK20isa75kc9N
fu17YANZFbVssF3/zOmez9COvUsUNjmKMP043IuqczXBX0dgB6/jl+UHDO16W1iGOgin8r4aSbPz
gu5r5hVyz6WfHK3c2yaNnWyMLO+/O3X6I9PS33ramGi+sKhJqlHO4X2T8HGavdu5DhTR9M42HFqS
I894sIyK7f8cV8fYiE5mrLCV1d5obtvCmF4nuciikRWrBztyBGUO5Mm2yrFhvRRPc+mP4C052NSJ
fC3MyT4WsqU1XKUfi5RVnDgOUw8hcUxvhthB10OGG3dt5PSPVu9k17E3JAKLbG/Kts9+4H7rRnlA
PZCrivqOFbJBhxMc6mVQ2xfLaWdcX4AbCVookOQgq2o2w36XnW1RBXgs8Esnq9GNin2amPxnVzvl
nsKjk4KgB2zUpeGJjnBG8I0VtKwNUQwlMn3xXk4Fxgx2EG+CPFmIwWVKr2Se+32VWI25BobQPDZt
ofZzMwQcDJ2AOaEfu3OZxHmJ7w0qHpXjYjV3hvhRwk1PtzziXWBgsk0YZoyY6PzQpdhzpeY5AGIV
kulka1q12fZ4n1Wtuzvfa4c7+EV6JSuyqf7AQywEc79m+X6t6+COX4uejNidsieh4duto5C6nLUV
DeMLgc3vIV/3t9n1Now9VzcJul2uAUtwQ2weU4/zc82eXvy5aeKXqpsF82o/IHHOb8A5qF0kRnLK
hAIrBC+woagQmrsIFcS5IHc/tJ1H39jlNqvYgvYbhILuptLwd0pI9Vz7fXXAarUt0HxObLC7e5lF
8Uvu4r4v8fH/FDD0XvHzyJ3tz2welrhkeihYwByGKqSJsmczAdKAHfbKpej3nmcA1M0i72+4MyAM
MpC9pLgyT4RGx1PDemSDX988ytJteSD57gVBurbXeLSCY6J4r1xkxU+7cc1DELd6IzAz7nTZsC8v
LXcPJ2M/t/nz5AHzYV288V2aSaRQG1svfW60Ogbk5nCylvR6D+qHcAbmuZqvIm4BfCgcg7kRbygt
Kje4VDa4XR4M0YgTp1rnSNTcPaRlVL+73M9oO2ekcHXJEj6ozJ1s05onDK3DGU6eB282rEscUeuA
2y26VmiVcIQj2FhFBSafFjuWe/Yt7ruzbU8/LQtuPXuEyBwRED2XQgwNbMKFnGUzat3CvHZ2VTw0
53aOk70xU9WsB54qobL6pxZ08TOE5QJWw9jvBmu8mTHLcj+E0GEmJKajfqSfe4jFNo/gykyODHeQ
YcZkLcT4xov6C+018wcFlnj2MzPbOUlcXUxJfwHvNzFnx+uqfC1l6u+oWXG2bgw5q0qd5ORHvv8g
cbyvIhacFBVH+Z0NencJ1EUPJob0S4mZDFoKbDCKvHL3nisUtRL5TV04h5QPVWy7P2hYjgkgRNWd
GG3r5na2d+pU4f6ggia8eh11PGyw0i8CvMrZNT3ALllTpW8AP9srt83iCGRs2ABF/cSmGh78iiqn
2Mm6W+tYwRtmYArCsqpCfOZBz1wkMnklYIgJV8EAOdZlrDV+UTlx98BoGs9jtaNmtDuEiuiv4frT
I1WCmr5x1Z3wkEebygirkxjz6YWUfXU3lslrje3i3oxkjgUtaA7Cl+lmysWecpsc9Sprdn66JMPY
pW2mxAKr4Wc86WQUA3DEflnBzsIW5qXkJHP3q8lRhrc5ADjZccNjfqxfoSe438KqyE+0KPIFVtrB
Io7BZjXHHbl26I7JQ2yzACo7D3+VnMfPaCrytZfy3IvoVtlAmeupguI5PvogCWq/efbaPv4aLI3j
9Fwum+L+Tan4OMf5njWrPFoQU9iK9fc8UUfUXUbejel2GsOMsTFNGjM5ZrWrQA6fkOY67OSyPGVq
ydwhfB+Fa1knf8T0ZWv6UMYSm/GQBOvQJNxCCJe4WvF96E1oc8C5jlnNX8UIa67MoVCfE9mNM7lP
NkROWuQ7e8CTFpUDqdd6CdvPA2+fMzh3hhuwf0tydY+TrlonXi0/TL4wdORaPUYXIAmpndGHY2nG
iSY0gApP7bUEKb4e43T6EkWpZl7IivfcCmd+FVb7ZTUnnxzG7GOP53ODecihu7Vtnqn/Gx7zfsaC
2VTCeqv82vhGv3C3a1JTHtg8/ZkIKSR567Hk0ANQ/V6RGgJyqeHsElfCMxvmu0BO6O4LIXnmJNen
a6n5vFys2a8Ekga+WRi+ahYv7K06tr0YAxseKTUwT1zioP/S4GfIwN+34WWsQv5+CbSZXOUmxIDK
eGqeck+Z29IvidmOB3LgTwEq9Br8UnpPMoUNSlFNBx348W5yVIPZqW6PrO/bt8as+/e5x7oW+pH3
YqBNgZGuo09y6Tw+p65CgFZuuOfjgQlQ9v4VkJ68eNSbvflB1DEbue6xNhlpsYQbPAUn4o0WCrB5
COell7SyDNYrVcUtvknLcG9T87VKhhrPNLzqYBepLPg0aYR1EHndaTUVkf8t9AzPXxlmkL9IRqSt
DKfw1hI3fm3GPt1PSURM0hbju1clJc+OvGK70E1ElZxqfgAo3J9ydx4fDK3ZALj4Tdck42wonf58
nFEqHkPSFu/QI9K9pwb5Knm+LQBcCqAnp9x6+cB+A5cdxt9WeoBuqIe2o6Z+aEH+EEGve/XDBPrz
ZFTe4K907+ir55JwIdIgYNoC4HrDdtHsYRD/TPOKkr8kwWeItUrArbFMYBgipd0Kq4YyYexvJNyK
6+jP9klFtr0zpql87dycyXX2CUlxucPAKurb0pN7K5Ra0vdgljZ1AiuZVnVb3+d+K+8YroF74uue
Diqj7HnV8BB9jGvMJiBq3OIovTLYE5ZTXzLJDEufal4eSto7NqRWg4sdWywLiko/eyYc4XoxNE86
X0yr2CQiFWFgDOcepGPl2StXD/OpZDw7NVTXvOJS7p9CptCHjqbTnZwz8VLaY3oKeyv7iP2OZ1E0
zDd3diV2PGnGF+qnrWulaToknOvBLS7coyl77Bd0ltLmWmee+947FNYRmxLme+mR9UY8mMevTo4J
BkBVqBEeWsdstnEI9t6YtbUVNcv3FY6TeTexzrzyHJdvyRjJl95v3KX/lINB0GpgnXZ9R3gveIad
4J8C5bLp6npWTYZd3tigMmJlrabBwM/S/tXywZ+A303uaO6190pbM/uxIffeZguYjEtAcNXKoID0
5jJ1wmCjP6tzmq0PowJToxfz0QbvckABSTJjPyNa7cyJMzi/BxsvNhX9AuCPAu6uyM05tdyL9kCH
L8DkFluFMggxisIEGZBrCqQr/McfBi2RxAgyxqUwh2+PTaQB5yssGZmk86s1vzXjrYEfNaVG7Zo6
Lj+sTVezOzpExf579d+/RIb/Z2SEhUN49zcpf8kr/0oXLzHn//h37CXv6t/u1fv3Hzr5Xdr99cpf
sq7zB8R6mzUCqEJ0fgvd9D9lXVA4tuVS6CkCm3aR/5R1Kbwh1InYyuEN764reBGzSZv8x78TFKbL
xOSVKLsWNu9/iX74d2aoFdqu5RAU9ghjgO/kR/hd1G0p4/RU5/Z7mbXhF9hs013F9Sc5WaTqwwjn
/DyYYSPXv71R/2Szwpru73IyJSoOxpPAxXiMxrf4CX//lztNNcbo9v3ec7polyrhyncy8swIaW85
5YrukzxZpxiwXwvsSvOWem/U18AvBP2j+WB6e7OQlr3WShRvEUZllCQApyvHmuJ2TW8PZyRNUeU6
L9nkHwZ7icSS56M2yxpargBZB9MHEK6VaCdV8ZgS/ltJIux9qu3wpTSzMtmSBu4fJsJtcpO3qCkp
MnXKWBRRCtdbdvdaOX66A2BJ9qosz05apyg9u2mg+FPP1Qcms3XSAp6dKYLd6KimxVZZFwDr2QPH
b/8rlqJmLyIDDm8pLe4QHBhg1MVe9Gz0RZoB4jMoJQvscU2T6g+GhHxP5G4XYVM6tvaYARlK7oOk
83f9CDCBoYWyU6t6SVN07EHyPLYGVp+EU0iz2gAWKV/klrssT+tuXIXCuavkAEiA6JQtKBoGw8gL
VePuKunBTloMHp4ExaRG+x2XGZal0MGsxMiTFNTXCrWv6NIkEd5z9yUsg5y2pzxRr7U7F/yhmiGU
jpC7QXXNhX1xe6QoWK0izMwwwroSDzloSw7zLKhijSt6SP0tiDGxoaWBWmA37o62qa2dkwr36ODg
XIjyzdZSXQejR1OQDJltPeNWhMVZ2YccjXVHIQ7lEWVOvB3o10ZhI9nPgwLaQQQC+78VF9SMGs53
afXxoXOYe33DM27cUcEgMaw8TnOh800FBn8TQ0nKVkDal36ozBQZiZ+kjDeIDU647MWx+AzC0e9k
P+mZlzPm8jW8b/8t7pzgSurH+sAOUH5nPkVWR1pxBfgugJdxnV9MqtiKzUBNxy2zw+bYYgUA2WSc
wPnKUzKX9dcSEwnvdaZQVk16I+etcoeUPpkQKBvQk9rzuOl79X1JA8vS2+IuOfE6Jx+GDgniJp+X
Lb4A0atLaz9SWVNiPUyCL6VrqIbiVsfcNF4121u4/Jg0Zlpzr6YSxOp0M/UPNuVxOydOpvgUx5JR
BPnXf9NtwKE2IqZ7a3xBb3hDTPlxGgLzuKwzKgZbqvtmLqhjbuFSJHEbxPjQC+epVopDJq26MJjc
YAnkg68aSL94Eqx0WfcvIUFWOtJDn8yiN9pLbYSjhm3gIqWepqG1ftSNxMwnSuslF0nT7dvScn4y
nkXhDlT4pFZCN1BpV/PkGo8BCs6OqBV2IA1wkxSADU2jIuOD0F5AK+5sEucM7BCEpYldkf8JuoVS
/7FDEQEdBpx0V8wGc8D03YvzD10mF9TTvTQNZ9dN5NbK3i4OfRKKO8+B7do4ZL7aHBwLKsYlbNN8
RVEAY6cJGqmcjfaQyeZWebO+bzLzO84sKLG1gprfFvHBzHx5rXyfA1LMb+RPJbJ+6af3SWS0+xFX
KM2/o71th7H+mD3V7yYCAzdzyiCX4pYZLpHOx59lGZFMIO2SnsMkwA+bZRSdrecK7zFRDtf68BGT
T4XdFecQ+XrElcqaR1ut2Fhgt70fTT0taCef3if61Y2S69J4bYHrgalmWPEs9xnktb/TVd89hKy5
mexSdjmoNv1p7uYfUjTcPwiMODgVwCeE+JKuvXBQR3KUuXA04u1Qxpza26S8N0w4V2tXdLBOaDJ6
BGGaI5Ubs2pXzE0cZGLMSq1RdjdNM1u+TUh1rsa0ne4CRT/y1NY23TN0TfLNwvHB3SL+CLATb4zK
DQ4igCpARspcg/Dm3Rht+zko6uRMoIG1xYjJEjskkdUhv/URqW005ENX2OWajq4TCRP/Km0vOXWe
+5OnU3ojriX3hWrotvX4puhjJvJxLSPS21vqqcjtpDq2qo0xNep7ahDkXIrkzYvvUTNDYohZc5so
6kYQ4HuSgUn/mE5x/rVNcYQUvqDRMbG6PecI4P8hF8zexbXSH6RkKbHt+z644fErX3w+J0rcLXXg
RFV9hzjm3OuxiT4muDTOF92U3GbbuUraTd1i6GWPA3NnI5kOmFgRk7e4j2cc5bNYZ535IfFlQj2H
sF3YVn/203AzqurVIJtdLgxFm8imzgUApR6nPXJ+x9bRkUHAcqZJ26cB29WiUmfOzdc++IjJU9RV
9ENzPwXVQyTYXkL7URstS+O+aEHWjgYxkRxrdBo4O5NIDJyDJbnfxARa4yN8smw7BI46Z0QzDVf1
FNKkMb9Ccg1783vjj58T93fWsz6jgmlPx3SmDRhOHKwIvOerNCYrZNsFyMNixGGo3H3QMyxHsR0h
QMPpq5MRBKYbv8QCH2nTDnwBooHbM9HB1YC9n34XY04ey1HiVM3SnTFE25Qzyq6dOvuSAOvfFAZg
RtPw0+9jTINY1PXttdABrSaGZa/qcYTbpEl1xRqipfRRW/iEhi2zoFhrqzLZWc7PUcHCk3aBBWDM
G1s0VXT9X+ydx3LkSNplX2VeAGMOB+AAtqEFg1olNzBmMgmtHMqBp58T9S+mO7una/5Zz6asq9Oy
goxAuLjfveeC3qJOomteJi+BPl9X+tCHsDs5apD5U7rf1xC496xAAQjaBpBKrtVWgBveeGT+Dnja
qQnIKP2yZr6+pXTvDJ87qgxpN6lH4+5hMafb3PjxXgdMoh1HY6DruD2cOS50P9Lg+qEmaAA7Mtrd
vUqbcJvhTieiXUXTD6A0xaPfL+IswiL/7oyH2MaWc7THcHqjRlQxnzc1uqYnahAlBK42sS+ib5Es
w0F5c8Dor5AwCjMR7a0x8FDGUzu5j62QnTOPR3FCmSA2JTPnM2SseDMKae5QtXLisLSBp7zfiI1x
WGLeG+E+n2I5gKcLbe8sgtF+Jrsa/S46DNLI2UG5Z6yV5ixMdnTMeuGdYt5qgcSThdvYsVKGU6ZL
VxgiR0bDCBT7ktTKq+PSEUQaDnwxk5Bwncgi/mKwJ0bCWqFf8yFUNJwGgfUMRyg7pEk3n6nJWfaV
mMd3FwzmGRGwog+C4wNU5woObjcgQfZC5AAfEmd5zrN5/j1kquRryojuUQN6eQyhJ3MfThUe+zIa
8LFLf5dFefcazLW4jZKqOiU4pvYzOXU0A8bj5Mm0it9Tt3U3ZSkKkKmWeR6n0j2MVTo+WCFOsF4q
eOddHVzIxdpnmm78d4tM+LqFUvLuuNERbLe3Un18q4NMkSWJ6ZdtLW+kjDt3oQgy3GFmsjCdhSWU
0gPiLBgctEbswkMDVJRKC7/lZrEaUB0LfCA0VK1yCm1vo9BP9iHE6pUcq6tqOWMy6a3liHs7X1dB
Zb84ahzzVa17/MTRRDP0YsnMvmeLYH+jPGScWcCw15Yd0ZkC9wMD/wqStFORiVCgMalDztZ+EX5m
sLe3lrSBh8Ft38sRiF8L0feLQwvcYIX8T2FGQW31YOZqX3qTPjbt2P3gS7s8WtTfQVw0FUULvEhg
CbnNGMJsvbKOgXo48X1ttLydOjGaz9qRpn0gWdAWT5aaYn/TI5JE3ES44K2Z4WUTuDxtorUrR1KC
/kAEBh/DaO09ejQeS3eKn01jp98Livse2YwA/zK58X7QontoZmn/GOrQfR7MRBXPrCU0tiUGPZel
mOXi0kq+zKSyk6Vc57N1ZR+v/DZN+TgaZR4FB9Tf2mFAGk81Qk+ZmvZx1jZrxYKvmQNbZ7OqeX0b
AyXNWbJ15wy4H0vxmUe+++IpofRzgCuzv43q1nW2S4aNcWt3ONzjkmQ589nMXgdejFkwLGOfuPRg
z+mxsXkINwMDzoxze6e3fTkr6oZyvr3unAX2pmY/PNd2FirS721DrN9PcLNYjNxaq/GhmTY+8NF6
bOJjWw/Oj2KZkn1lh81rE8rhk4B5CY+/aR+15z6kFlgITEmbpguCcz/HzE15DsmZKvGZUaL4EVdh
dlSpl75my2i9203tBVsVzu4PiO7mNPbTvIM8Vd/JxVEPMcYrCNWxiQ5uVmzbucmPnKiTG7yu06Ht
BkJqvIWfox+PBMUsde8mjd4xlNvbhDDvUj+bT72iqAXPX/ZYuZZ7CQHQ/jUZg00Nch5/UNCicfoF
kfpaL5oVx48ucRJ8DHHyBYjEPDCmiSBttLpktZYQwTs1ht/AbP11MpTpzpWK5sxJJq86CIe3KeOb
U1hV/5YVcbyJjHIuFeisUwop/oHJ1HfsJmItoTI/thxn7zHZtpyu0ua3SxiAHXSSh6rL1fOCnnxa
YiG2sIan19x2slUHqveWhvbsvl60s51121Xb0m76GxO5E0oWJFLavJOHEQFg4zQpiTbyS839wJ30
ZztL9yHBE7KbFwgMXVDruxEt98hI420QJq03JpCw9dPSGbamhinCSELu8qFfiGMUeGTMINZ54XAG
oj7gfYQgz5QfFaNQefieIsl9RMxf9iATuiPb6viIBxmWNGex26qPqZfqov4yEJJ66jnlMcqmAH23
QAQ6QXODA9/xyI8d673f1MNHmupqGy19+jkTbvIwy3KltitEc6T3DDPUzLcrZVfZAPCGlxiypwQT
RE0m2Exd8CYAGs0uFSzS1yLwuhP9i9mrVfNcdYkquQlS5sM4Id+UiWPf+yQmT5EPUZ/izeLZzI28
JFZZfbuTwWsM5UEC2sn6W1Gy59EuGTlfQZxzwxp0qc8i7jBHL2BlDhYPGpJpMdLv1fc5mLA27+MN
NNLmrTdNG3LvMvZT7s3Ns68pGc3ojjIr/y/kiAnb6p3gT/Q59QIcSRizvpw72FT3C6vf6/IXsITK
QuAl0OdcvctyaERxP3G/8obU+TmqirJPWS7Iun79SaSxQWwX/lutEGm8sq9vYk5q0DxYO/iBMjz8
FWiedPTdx9Bi9baVhtvijR04jW68LPnYfw7lMJ7tK5ulk0G07eq0OMyDA7nlynBhGmKv6jht3rUv
0h3mAOvRK3IPd76IMFete5b4eg0+rfqqMfWZW8ANiXewFE4qjyz0vBqm2H4l6wVDpslN+j0KOlOB
jMxbOh6MWkVMrmBLYRd5y7lDbmKoAQda58Do8MvHnAn+4tTIpHNLJOBR38xiTH7IMLWf/aziAUrt
hZ/B6urHuQ46gxAUV69u2X53f1FwWn+uPhdIB981Z1AA5RbLEIr3JqHFeuONFuY3aDp5jLBl1zn4
phmWkjdverbm9dT3VAVccTwcxl4Zv9cnIKhPIprkPqYw9Bxn4HvCGJAPKAtvYynAokMTcUoPHvu0
c+9IpJU3InYJrTh/cYFMlGNDr6rzhBPmSJEBjwNsMO+0lHoA7po4122qxAJFdCn0C+YoYcc3zVrO
ZpiDSxrPyQbRQ+/tMBI/Ex6fnw1m7wXvWl3y94v2rBLhXUZuUDtVOP1jNvv385LYe/Zm5nWRxQy4
t2FnDpY37QsrhIGBKHXnSXF31YR+CCjyBPKayXY2uVVld5zsrjVgrFd0LQdUCU6dlwApw8qHRZqL
J6bGxUV/W/qNQ1nqK7TvQq3CSasHjgaFSz1gHt3JLEX5n/zu0NOztM4Y72ywfggKmGe+lwWVyH1B
2mPX42Mg9jvU+uxqtMS1O8jorY1HSdNi0/3IZkdc4P9gwaLFggXcHb0HJx3aS8urrWt6HO4TepAu
orGg2+GM9c8D062DU0OplsAHzzDhmnPqpgHOXIx11UQd3UZWfE+ZDfd3iGtdv/WcjiNN4MOQaEdr
nujobLJt7M6/QiYvG+BVzppwpfiymBMfRwb+T4qVaaX8gfRG2yzMJ5cg38XZEO+0J5Y7LAnpPpE+
dhU7K4OLyfvmYbEMaNShFfyR5VQHRQ8Aw+bCPzVek71AVWUVNHXXojcqwGuIV/S5Yr65404gX1Uy
uwyjxciZC+et07GZ9TXwK2o3uO6BbNHSegn6kQDCjEGWghlinKJJzDYzhXnwI4kdbw6sY1+o5mTV
dG/hkG8/RMoBxIrrdNOVWcpi3B24rjMYK9u7kRjVTucgtWxmu/OKf/UAzYJGKYw/7ZyC7XRTJVkz
Uz8W9VvXSfiO10R+1iqYo/2Qt9pm44Hpbxdh9wpFyn4NJujvDCmzZIVyRSJnVFm69QtYPCTy0uaZ
auRS7FKvM7ifmN9XOwtUdn2maV4iyTY1TrsS8QPwVR5bb5RndqdAgJdizow4sE6SbHzEWqVThv4q
fUr8BehmEWLIXGE18qZN1qbDd+aXy34ZJvWRy0U9Bias7Z1PAoXC5Ayf6c6DXI8S0iYhyOhCSfhb
WMAfu4C6ElyrKV0DeRA2b4PrZD9HS8wLGL1JuEdzpTmcFqT+59RdqvfWoavNyqr2zhCeoujIa7sH
8Bh4xiQD0vtmQohzxmvjZt7/8GyK5qKgy+EchuGHVTvJjgwuQRXHd05dIMvXrLumAiusubtBJRKb
tl0gpPRH3oWFyX5joJuD58D4E9ZPfT+aDd0QyzPypXcKWunfOzMgvk020YIQA7vp6Ehwgi9UA+Wt
Y0oP85XQjA4sYyx3Y/kTLehe1S5rHdfmPQ0UGwQS6nzpS9ffDslD2vjDsIkrFT7n2FtuYqCebq50
vpHw0C40WM7mgLm2wcRGTOcn8ZuuhtduMFcYgKbjCtXZe8AW4WCameYi3FC7AO6od1BqN2MdVDlh
1Rqo9jzL+8IN+wdnlssbwvn0YGHcIRZrY6QjBr/vu8Z5cXAT35FycikSovJ4V9OtQFmGl90B2Z25
l0+B+uibPMEapIozlZ7jvbZk3iJB2ol7bgPD1MW2rx2HSYChd045Za173xrfZ0aNyP8crneJZzLQ
Ram5w+mO0dt38xBPN2/EQ01ztUXSU8ZfkZ0QvUxd236Ko2vuMS1F+ZSljOLB5HOBDtXisZ123prQ
MxcpUzrera7t7pEctniUk1PdzZZXZTBW0vbHAlzvVi1Zy12+DdRFULOLjFN1WXVI+9Z+UUkoz3g/
iLCX+DSSVTegf2I2JR2YzVb0K83L5bOhadDdYjji7jmK9srPWkCOq9nhGrfosXjjaRvHdVWk7ASo
nuauo8Lx12T11wWOLxE+2eLN9x15dOx+uVBT4Z8Y8AO2b8vuzNrOBtSF4qtzB51swpqdj4Cq9aKs
tHmAZ+GfDH6hG3fqx+PiJMN3N7hYEXhs2xVNlC20x96Y3yqjfVQXw4Y7RJGte9VXB+D4/slj3d6M
fl08uSRsT5YEKrnk8/BVZddS2QWAz74pRHXIXN9UGxLc7afdwKvcxoNfP3JFQv0mJPGSj07wQESy
IDDo+0+0VfIPzTrUxWP7DogRCzBOWMYdqd9Zpz4X03bgPXwiKNz/Ygcqg9W1rOrZAplOt3qpZbqt
u+Qe43T3SHjPY3rA2lKt3MGFuiD6/r50/OLc2PwlWiyvZizl3ytToSaIuRw+FmS164Y8yksw0AcU
+dxKgOROxSMZOpq/kzCTDW6eenkAKMMnwuEGLmWqHhhuVcdC2MljJ71mLXNDDehITbl2a0qItU0T
dTJFd+U4qxN/LYbl3Vo/DWSyNf/6nkRjvrXTGhBOuAS3g78s97Mpv1qbytN8wBiR1JALs3C+KIyp
T+nkTHtd+0Q7kvBphhO2zVVxde4gXR77ThC7dSZDJBMH4jNpVM4VyufLM1+pZAXfawzW3bQbub4y
oRlQOCxsiMeeY/uHn9TqPhLCxt7hGP3ocqDnJlB4JFUC0MWr0ZjmlI4efa0wRzq4PEbfMF39Vetc
5qum77y7JJb+ZVK1+2CQMz4qP3C9VQ5zrue6y/gmGXiaJtpqWVVJLqQV7egCTQEfnPxuqASitUO0
pCvtuqORCdkdl1TuTXNJ+ZWMz4PlV29OzJZFMxJHlgSFM7flBOCIaQuBFbt5ZZ7aH0veX2zQfX0w
iQ42whfONiDOXO+F47nspjHd4Gnflx/KiQjvRMuwLdQcfBPEpnPPyrHps93/EOQtNc6kgoZkeE6k
NCOPg6yfMbdyloEbjLST6dyBCqUWryVnyTQHubfxPhvPrVws1711jCzi3S4aSQpDIF8uvfFY5EK/
bSC7dMmTVzHzgUQyPae+cb/qaTY/U46tzzA+B71S5HlY/6Nr0i7MghoulTEfbc788gpQAQDFmscN
r+SOh0eOxXgcAp85TN47bDR5n1wmS4ifhUMpwnZqIsIAembjmqtQHSMIbmd+KSqo2IMpPmso15s9
3LdgB8BT6M5r3E0TS/rIsqiY39ogl8xtknAnZcOeX7X0ZEPfq6N1HUkr2vR+ulyGNLqyGCeZn/xQ
dafYdORyvXz2f8GyTNHyBBM//LI1u5VMmwjrfThTPFOmiV4htOFVyhJ2MUj+KhtXSg1OexMaw8sA
pY/JjYLqX5cQql+KUTNHkVUOwNg39aqPLOuIyF7iaNfd9f+Y+NLhKk3lCzNbpyBYLaGXlJXnfWGS
q24bJqgPbF6cXQq2y1VEPKg79oJW2A2oEfOO3gyun5ap5/h6uyoDgDf0u5t+7TIf3E6puHblFuIS
hKP8yl3cxj1y386KcmiqLh6faOfhIliHiMPnpRT2CQexuSXEDILPvorkZVITsSGNT2OlzTdrpN8h
mx5cC2UUAga36+594BB+mqOKrDiI9W0PyXozze3422687DJwnLilv4L1a6HsxPdFdUOdosQkyP8C
D0ZmCmKveBekfykHS/ILOS+5rXuBgRKzGwFgqArvydAsD3ocq5uaqgXG6La1pc+7PBa2L34VzQjM
rwn0TTnUOJOWNtPrJp3SDQjr5Rc0suRAFNo/6oV+e87ryMT1EHv/P/b5f9Uf4OBcwdDyf8Zwvf3u
+v+x+k3qs/gnZ9B//b3/cgaF4n/iaw5IFvtkKv+RwxUQ3ZQ49GFw2X+RuP53Laq8ZkFZKkPhw6li
ZfmHCgGbXlSsRoEvfFpVffe/5Qz613rdwAmpcXU8SQsrFIR/9uf410rQgvH8XidDvmtFFq7GmP43
0ocBgvV8/Ie35985gq5Fwf8UL4VEZtsShBjvCHHWPwoLwIlGDgAytFHYf/tY5tlVb2wfRpvmaQoS
p00ZLczBkM0FpdrzyPiFOswBtSkqAPZKh5MNVO/N3/xcfyLBFD+XJFjrCk8CTPP/8Cldb7jAOzFQ
oq5/9BU/hz0h0BOSOFAWdQqBwO5rBMcdpESzSeaLR/L09J9/iGvQ/M/3xrERLASsHuLGf/wMXEtV
ZLIh2Deo83smPdEp4Mzy/J9f5d984i6/KgdJJ4TCFl7//B8Cvj5vMot9FtBj5h28fHoL8DYdphTa
dDt109+8sf/md/IcNBY+cVp3eZD++dW01LYwWRDuw4pyNhOQfaV3VP7Nq/zpMuPTAwUMTw4Nn2dY
/vFUySi328mL/L2XEF5qc0QPSksfxzL99d9+80IbQxuFIL6H1e+PF/KshXf0+vhGKQpQaWXf2HOY
0kEkp2n19v/hxZRDuhvsivDEHy9mBrcml+b6+9qh+60AnbBKRravcsGwZTJ1+M8vJ6+fxR/PH8ZF
HFcuKwJsvD8+q9QO3EX7MeVgFugPPUKxn/xIPBYAYkhaUFHfIJjuEk4ah6XOrtV2ZfQTtY4KiYp5
EvKv3jtVOW6cXAFjFh6OQuUExcbzOG/3simbTZBUeJ+AKLH/leztKypGwMLU8DPWtJozJfEyODIi
Uw+6LPXfsB7sf/M9B+yuZCgRbf/1eZzgZ09Uuvn7uErkMfOs4DiPHrjL0Xux5gooa9TRZRR/+07S
sBPn8pnsXPA3b/W/e15DVm43ZBf3mCH/8a3IwOsQkwv3RTEgr7i4S4Sib4Lcz99YMP/1lUJgh9xX
AyfweK//eKWkuQK9spCWE3ph12YgpkcM/4MQt9z+58eH6Oe/Li1XliNoSYYkkLv/+vN/WFra0nYs
X3ZUBHAy2+ajlV6t6uaeO5J5VBYPgmz7Z24z5TaDPptv+kAAgAaTR4i5Jt0cdg0IOJ8wBvd7Tz0R
1/M+PRSBA6OHvlg77TA/hV3v3qAB1ec8ISJaaVoSVo1NQ+CuAJzHyJUyDFH6w5H0QXBoEleh3jMA
ttqu3Wjdyq3jaTzZ7SAKG/p87UX7qZdw5Eub8hqIaHeVZxusTEmnKHM0kht5kN5Fosw+sRWURxeX
w1YU4XKgZ5Mm0LH1j3nb+++ps7h3k+QXXzo8RVbE+Js2QoWeJ6OLnc24uHtnW0RNee0d1eAQbbz4
eG2eXakbmmuq5jOIRbAi8w6jNplb7t71NaRbjfO1oBIcreizJ0s07V0gSnB1htk58SbD2NBMTvve
mDG64JCKXpNwSfdj2Qa/iPlyNo+E8yO3sreqkCFeAaBz56ynMotOqlu/TDZouQfHtcpDNdpQyfUY
y0e8vTUdmYkKzsJ1ursFGBBjjlbtu1bne36dZh2M3Ibg0iG5LvVQANlKSRuxSs03IQo2brucoQ2O
kIgK84ED8b5op/E3RybeE5Sgm4SiVYpLBxuLUwSS0nPkwKjX7d5s3GavnhsAwiu9pmP4okX4yrFt
hn9JaAZPV+kehwE/xtTixtTKc2/aUZXbuhXAa1KSSUzhF7Z+5gXI9KuM+t1hk49BepBxqHdVwOct
u5G3b7Q6iHpkRECKE4VYidFOt27jeT+SRs5nP5TuDxyIgmu6yJO7kcCmtwpGCDLc2wU0JxYPw8rp
zppRdjmFr4wc+uLVcbDTjkJkv1qPpMDKjzye+BCv2lOB9opJMJmabcIR51RSBY+Ny/9eYmZiJHZT
xGUByjrbB7LJFnBHw3wj87I9LapX9SYtppmvEOSshCHvXi4ccFasB+VP5XhjCBkeK1R4TQdpgGbk
R/LhMBJZvKjFQkDL3Djc14yZ9FrkZbkJqug2H0x8QCwGdIV4w8+bTFgHEA2xRq9LTHHhCiTociMn
vRtGuz3hE7oCiKvyyakmZIJ03hnMWs9ShGbLSLnfdfxsh8mq413YUgUUeKLk8zWw25Xh+SgY7IWw
QQa18+kbfkW78s/O3P7GidJu00GTBAcu/hFGIUMEiiXbo2VjLlZWJoGLjtRd2QtjIQv/7KYtAILn
OHhQmSocO2ZmhFZp5CyXXmWnS8tP2hGz26yyJ8LzOvrKncWLYDFPoDEyAK0FH/FT5DvikKVWsZ1m
OLCWYRfmKKp/jQwuH2TYzYdwskqSIkOwbUnX7CCo4SyExWlGDohmsd0zrXzZ1lyba/SQEUBrTsAh
A4aoQQt/bpmIEHRxAC0iesF4hEir7fjOImV0xjcbfiJMO3TBev2WIb7jrSBbDVcbCb01wqsPSdlD
k/bQtb3Aolcwh36hGg7HSMzJOW7G9yCgnjSoBfq+x2RzGoaBUpSluvQFbtx1407LpiYRCoJB0x/l
W4iR7pAxgIdcuCKre0vWKdmOmb88QVHoLpQNpD9NyoorsOUQZ6Fyum1zc9+N9URWD6hEg860GgDH
v6jWxdCvZ2tTzT6WwzB7H1RIKK4rzRrwOaB+hLCifMQKRR1FUqrjNDg4jfOMhmRCA8UQWLvaUdNv
uJY9EkaDQsl3zbLfmU47F7foLlME1jtoMhpZJzGvpTvbN7Df3Rh3TVLsdOFz4S/qaVe7ITlLmxrq
DPfxCsFrfMRkV6U77frdqujRSLLK+jaUyZeT7z1zSFr2AwWr17HD66TwWtm28rbTVNsXt+ofmlTf
OBlKvW9baLOs4JT2Vp92jeUN77ZxNN1ScVxT8AWahkz2JkkXd2vkhBAxTM5tOw3RYyXolQWJg28s
cC9ujRcgvJaW0HVjKKkY2o8ojCDFUUWzVvNyz2Qt2GWktKaVwvLzXvnMxOwinnf4HuhKCQQD6bVb
WQSl67lqXjiXmQdZpc4BbnC01ykt8jaLzS2iPU1ZrRU+Jfy+Pwidj3qTm0LzbqiSXt4OwQGnQzFQ
WI7vNBJbb9b5uFXUvYc0zC3+fUFpIpZ1Fq+3MdHdT2kx4ccgHurhGDMkCaihLqt13y3fM87rVZxe
7Rb+8EnfTH3kP0fsOzDdLnNBohCiaYnxF4+s/RvB4kN/q2j3S4ZXVDph/gOeUnvCJ414PywLQ8Gr
kbSIk12a4mK0VcDXeNJnAKTmDkPx6yhBhdKfS65qIu3CJn+v8F3sOuwROfNdG0NlpCae3LyDlOa7
7ZNU4slPKfasm8xaEV4XB1JilIjPnXso22E4DiBUWeWHClc6qK/9SJHpPq4LcB2EIilBpUtjooDr
Zu5LeT80NIVWIql+1IHbbVvXg4sxZ+CiWS0MLX3fbEgIycjgh0WJ8YUQIQmR1HjTb11Q+buqRVVu
ABpDRKSchjOjN+8sK6jB0NblcUq771rK+mToT35y7LDdYVW4TzVlk/PigYYLHWQ227bGV0pf429v
yfU24bO5a9Fpj77XRjurCvXjAmKeaH70pcN2uLUrK94VKU5FFWRY2qEl5wday8y1ZxmrCb0dWLnE
A91vwbpzErmDYkYxfOS5SP9uXJ0yjychMFLsbGfoV1g5l11t0vxMLxAjo74c0mnNLBnILBC6X9LI
4hxVMu93Vc87Eqqs2EdVaB9dxHnQluqcu8P7rE19MbW5NUXdfUE2GIB8Os3mWvzKlFbeDg4k4zDq
uk+nUx42znY8lt68z2vrlXANPv1hwTOL0bY61RR0bZOGXHc8qPLFdKa/JYmAds0meDBNfKpAdb64
TQIGBlv9pg1H/dVW08LOzaEAObVO10hu06aRrM15reJbyuniB3skyszkUkEukLTmwD6pNwgZ4z0y
+VszQ8SpreEmkWMBY2PaAtYgPtTnDXBfs9E1A7HVWC973FdYTRnNdsxxLnJhaCDTNH3gYO9RH5NF
m3khBLOqnIByH1O9dpmV7hq/2o45zHKVHobJ7o/Mp5nlMYnDTeBjGMYawt5n3APFSDi/rQovCNb+
2vN3syLMStDfCk5hTfJIOikehOJ5NGQCKF7EqD15dALEzZ6jfL4NYhzUKskoCGFevXd4/ZUuvV99
60XvfknvbwPwQ0yzwjO4HPDfvMx9By5kxBdnDa9BJsf7hK5e3tofYU8lpZNYv6jaeZVOfgGh+QTM
g2hDad8xpf8d57/1FIx7zI0D3MX4GUJmsirbBt+Bf5N69sWS4DWpAutuCm3daJ4gPKphvo8mhxGK
8bNdjM2fXQrDaTPuHdWWb4vzhRRX7ALZ2mt7ysp10Tb4WLyZPqyyS5+HGvRM31UvdLq+KhqOVdt+
5k30YWrvJqE8wZVef+6wQVEvqBnrlslLIsODV5bPU5BR79ceGd4WJEmrW0fl/OySZIZqRuZuzM5X
UJimlbSGbON66BdJKwkuTe1uUsVjxrfqyLjjJ7LDUVGvZwWtt8Layph7HMEQJ9FB2XK8g0nm3c2N
3/2GIhYimnlHrDPlKUy9K0p1ooRpin7i5udiznX/uW9x5l4v+XxlgQH9Sha72ZUdcKqo9HY6FMVp
zgt8gtGUXI9SqsUTgbUlKYKBfEiVbQIbN0FYVRfpMtHoKsNZpaFb99o8vrdirgjdlObc6i3OMPzC
mSSUYygMXwXwRQjM8Xlzb61Xk+U/BSq+c50pXSupP0Yg513POb9SnD7LHKsb/dYru4k50DvhY7I4
FyeL3vq5ui0x/6wqw+cOIkcwuCz0MUmWhk2/ehE9IHw9EsUyWfOeUX6yIWHQQJ/56VvumypEv140
e/bcdHxoOn9tpDMAvBjLV4MYupo9rzhoXGEHGhNpH4VOs2paOp3ScQAq5NIVPCCInPzqOsHy6Qhq
S3AkeGA/KsYRe1cpflM6B0Blj3eeTZk5Fij8vXQ9ffsgsO+YTHK6o0tkN+MM2VlMOyBQiEvFnWWX
cf85TVXE4YjQoCf1PY01JKqboH1PiJfDyImGPRLLE2WiNZE4YjVjfEt0rb/rWgsLJWvHllY4dalD
SbCReux0n2Kqv10ksT+dmnwnsEly+tdvTo7lYgDxsZMp9AEKxnBBTso8SyLxK78inTlp/AcAz+tf
hl/q5Gu/2CjDRyrtoTnIxBr27LfitmkTAjbE005le6jmJYOIj1NTzG2xjRngX3Ly2a+dXavXwHi/
I2NDvZTVuE8KR7wRcesPdK1aT00z6p/waeL7XmMOICIDOQy63R60z7g3JUiUCTsO+JGu3LrIOJBL
Ex/gc0qf1MRpHo6K3fkv4hqapLvU2QlwIgCO0Pgg+3R42oekGY5dWYgVjvUfc8tREf9q/iuKk2qb
tjZEJ81RqL/anULMY2jVGWelTJBmaCuP+Z1Sp0b38w9qvzdcmNS24Ou7w1c9HK8dCNspw6ijy9jc
p0yPOS3mzcn3k3FD9uohQYhajyWf+AKs90A5rb0zaCk59ZsDLQFdenGN1kcaOreUxpldyBeduxR2
T8IpIyZwzbmSgfElnAYOuFWRrL3cnvA/RMmxWUaNj06qfVn0YM1piN8OUI72iyfHAynb4ESHUITm
UjNrTTnNcwF7mjrpUN+HqVuZ/suEzvRu5zGT5qW4tCaBVJsuX1zH9WMIqRTvo7awhFhDt7NzPZ4t
0b1I6b3xst2JSrljougNh0hNHzG1XmsNqf9Fkrno+KB0ciuFhTZU4TvfloNACyotCm7LlHKeoOLx
qetm5yV1RM4+k+7bEDOv5hFs3q4FbBQaXuEj1JFRZwp/bD1nqnpAq6heGmsK1zpMms8sT5zHFHLh
vWxbZ5vMXA2xuqX6PpfhT2Cr4SN6HGXdUAsxZDUUBEYL5gyqlxGYBv8m7yp9gzE036rQYJ0zeHia
NlKkI+pyb+GdXWM6r1aOb6enOcFVA+il9lcBlZQAyJaPqXPFIaYH5D2pNZb0LNMoHOonk9SMw0E4
U0lux1vGt81d4UTUBgLrvmE8ma2D0MmOPH4PgEUbe6WruD0Y5n838VgRH67r9EyImRonC0/qcqZa
ExCfS+Pawwyz6WuksU6eLKwk+3EibLZ21OK/E6QWELIm33hbPSTpN4kG7a+dZs6amyTuZyhjhAXX
hbB0tA0s07t0rmkQUsobtngLuekt/fIs/hd7Z9YbR5Jl6b/S6Id5c8EX8w2D6Ydwj5URZHARRfHF
QXHxfTXff/18rszOJplVEgoYDKaBAQpIFCQqgr6Y2b33nO/ooOuqPmN3nFLhMzW5TayONdNtyH8K
IBSg819izAl9VgtLeqmszK9BWlykLWSpXGsOmY1+oUzZO3hXs/lUNDmOI5sI7pWwZ4k2juH3ikFv
ec8HNV/zrCgf0mXt1Mr8sizadJMUlX00I1fbYLMCzQQEviBzuTIOrZnr61lgbfRFWQc7sgL7r0M9
zbdp0Nd3cWqIkwpPZj0okL/VQgFXoiR02WVWZTutcseGj447WD7BDJN70lgTF38QOHMi5RAZ4sIO
7UFZx4gkxUpESuJlLY732g7ppU91GvgpMBM0p11HboRVy4yB9VA9IVjXzeWepHc2689llztEpxem
kq8Cisltx6V2juzfUbqJ9eYmMAn71tIby3HzrdtHsKfoX64qVw2hY3ZnESJpoZPTezLoSeXqlUsa
7rjCgQRJcirXIXOEDRpaJv8pvlobssQCUSQ0S3hICrFPjukCAoONdzLRMq3SWt7bNYHzfpQaoOnz
ynqyKKV2bo+0oiFjdT0AG2JW1nY3lJQB739OeB+WZaKuKr5VGz0ME7ufbnbjWtFSdUvr42WWWPgI
7ZhX5Tzcd1O0q4cW1U0xoRN1AvUswWSvDddRgWAqKT5OdKJFW2Tk4qb1wXBirENFt0aeeQgE7mqP
pwX+HV3hNV2d7mTLRP8xlmSm+nmS5xpn8MneksZFJjA5PO2FsJtua9sEirJ4qc4L4gd3i8O3+kb7
o7ouHNnehIPTPpCvlFxx5amLad1ttL6xrzjLDYvx2dnkvH2+2uuvbQRHzZ218cqciXpY4Y0LftCD
5YRPv7y6KIwQM7RgzVNXvbRte4OTTIEHHtaABtLSbds30PPauMYbO6sw5EbGjrlZIFeQRuV+ZS/t
gOwQJogUcuoog4m+aOZ9604VLt9cZaTqtJjBSJA9tWaafE2tPlhrkVMfZWgNfqAuE5cgVh4nGKEj
Mrh1FpX8690gb8yhElvwBOoVbRGbf1pClgklHT3TRqpFYm6eu2gXaj27AjK2ziOCG5j0wCxoQPlX
or8Ksswnwkai6E/WVECEejbVWzc3X4t2dL+CRSrYdkPc8ei+ZO7b2vyQF+O3WUI6FG2qb3BQ+MoS
+uRUbeiVUxwfwpKeEAOdfZjFyr0clBhCEr1L2u5Yu6I5Bt0+YniLBKABqq6a7Mudo7oUs/BlaLxE
jbHnBAv1MW4A2m/Ull1xVUoHjJVJUErhNU6brMh0ArjqKEinVkxVlMuShKJyoyo5fRw6GtEtglXz
gkNfuSc5oFwjt69urR7cKZgaS4OJlUum1DQ8rAAQod6epYGxlQXMsO7UsKp3TRpSRDZUK6VvBKI5
YHJSIVqo07hJHdms6pC2pjrY1gO/14zZNAeVUHdkXhhzjxyKiiVDOxZiqIH9abxMes2hF+OKC6G9
gJNBZ7H66kzLYokEkBZyagTGm7BSJGYDNsVtwgyB7Y1+yTcUUvZDO0X2sUmm8oT/175h8GnvLd0w
vqomCADfMpUo4VQt4C21mXS/k0hcLhafvNijEG5Vnm01pp1m0bTrTJCLq6THWOErxAy+ossyvqIy
VkESJ9VbahcwBVpX5lc48pE9NxjiCaF2RfqCw1AldQBZrcpk5DaGoRr6aaRI9p3SepxsYV8hLM9+
ZPYcLKHJ4VU3lgKdjoHaVnZh/pSY7nyoCMxAfTu4tCEyhYIJ7SnZmy4ur1sXp1eFwVtoTxKZ1W5o
2j7HgBRZ51QN6EY4tQzPJNTQ242UjQ6O6l6VbvtWFnp5zxAp+JaTl/xd4d1fK5Irn3A5UyxGtrmb
inj+Fkxl9AAab0FCLTHAeqNYT3SBxWNG3LLXV0SsBItmWkiO8FCV7HXBI3KoFCHYUspkTYjE+Ab2
dvAU+jZeoQqxkmi0c2+CV3avIF7aG6M6nZphcL8n6Jk81ZawBScnPli0mQENKS1JUWUTPM00WXgB
yqz+7hRtcJg5a3OongFpphwAkcTlMtqEvXnH5lW89kVXnvHmqFuGDQoaMrPBRRZzCNJS5TGm3YMQ
HxkFvRsVbS1wjW1PlsslOg6Ebiz79dpAZHZmXEYczRjS7zJj0kFWhZ5Xt5McYFWlU4bviSQdgqrJ
xT3p7ZDtxTA5+4W7cYhRbr3Aw2QwWMImqL1Es/GJ6E6c3Ul3UFUfE3x5YsFwKh9YsHXWYdKWW8rk
Ufd6vaaKxsGfkAcFdI5ztmXrz1rSDNc0rIezqgb1rYnA9tWsu+xEgGYKuyCw3lxhOqcAcvIxFLai
eLrWG28mloRXJJeDgC5Qdt8LpCcPSdNIG6yr3VhkPSwSymkQIkDiRzg5j6rrRwxI76RZw490ShNW
igikeqM0rbgP7Tx/KcLmXnPpihaSE0k/4RTF+xdqGB/MOj2j4Z+eyGaOCP2id9pxnsK6b9N6n3ey
pa1nur3MN5QBXOSu6jlgKFY1q4ckqkXuRzDNmDeMQXw5ja2JYYipK2tEWDgbI4zaC+wEjU1aitlu
hrnm0ckJs8083WGzAfTHIJrQbPXU1wJCBI+Efql2Ng07u4VFalp2+NSBd0j9sJEPYHiqxCeEKNr3
eVPeRNwoZyMcKb5KBoTTWs1r+4WjkehXsFGn5wS9L82VrLKTXWUTh+oxMSbSlac5kVv8zEtnECWh
5dluYT1iJCJSqOLIfxEGxgDxcNnZXGvYhrNC117BBnoI7elH0wAQZXI8jCtKa94Tzkj8BgwTNN3C
XMOWSx97ZI4DrSWbs5cmHAJali1ROdaEVETTjkTrEcTQQB6wtgbcqAgI9TQSy2o2DDwM/uBOa/u+
I3lEaMW6ChdMdqfZBL2S2E3rTGrJcyBFtrdFbOpeFrZklNkomNd5FtTPKEGBV48CpH3P6Ga6SFOF
7OmhtR5IMmH7INjbXRGFnae7JkuNlyQjQ2dqREGBO0/adurzYmukveVlCaAWFMklwzyn2A9hx6DM
Zph2togoDJlBduwmMpDPc1JpHPF0pfmG+3WJ9OQ0ATL4zeg198JUhHtIUFudh9kA88evLRe7WHOa
pk7xmdVS40+kt1lQMxSmfVtqmzIiBl1Wb7XTk7PqZgmwEse8ypj7bvWwDu+iPDcIOAERu0uITek3
zO2jTSHFk1mq040C0eJZsWjtQEE4Ym0uXzrTSL4adpSpu3koXZq/on6AfICqMiy1y6wqlZuQ/K7f
CDEW+cNHyYurClRQbNw6Ln6xyCfeKRaiVLUhmtbOUtMzPKViPtsWSsusrWL2bY6qV72mJF/Vvmcr
/bVgQvwjuQQSFKagQLkQ3nzS98y6AuXDHZ3tZIXtlWtVza5vJFMEssiBHRGGFlCTMRhXk/5lmNlS
mq7LN1WfaoRgy+e0wl7hAMb1skrFC18wYCqQ1G8GjvHMm3XtDH7WoC2TW4Cg2VHnXWOJ8jCIBGW0
RJeKF301mPQGDZRamdcNKSZ6vLbkSGewSDGr6dt8TBXygzXHtxbuU9d0ghOKeTd2FAfmMGnnOrae
kwKylGL37a5WWPCTEkTVimIMqdQIEuPXl07/u4wQLBr5TQawDLqD9icRW86jxOUTnNbRUFI3qGch
xqnE1zftCw3J0kBc8WRAGmBG1AHcl920cbM1p4BFYzAsSc+hiyw56olc63JrnbhosVUMDl45KmQu
dNS7WcoB2EgIek+IBvv1r7AIST8/eq7JQEsAkUfP4CzKuXePXsxeUvVu427Vpkoocdx+zjxQvtHF
rLQ32thbfs/m7IF9jQ6aqnavTLy6faMuaj0abqYG21eXA0bEAt3Gr7/d32V7S9aI5fBckoVgfhYJ
hvTwLM2C6glPkjV0NEL3iP+8+c3HLFS8v10EV6B45BVgadc+3ceKgbGQQeVuGX9OKdu3TRAoBDF/
HDPrh04BzxqZkr6hBYUPYMW6iTmEjj6NcZB1re5eYX1Kkc3wslRmkV9hrIfEkwYzMupYvavaVN7/
+tJon68N67WqmeaSkAv8g4Xj442rs3qmIcGz10udRWHWC9OzVZqDwDkwsVGG3LvpVanGJaCCBYmQ
66oX9Vl0mMQEF4Uo7Rczccfjz++1IBPD1/L8x6oFM/F9hs6n//sfd2XO/z4HHL//if/4pzHIH/7W
f6NsHt7/ReX3z0Xa5+6le45em2Z6r9H+88f+pDfqX+CgokZe5L+Ird9lJZuorVFiswaizP3jT/4z
lMf6goQPfAdsRwSoOkLs/6Q3airKbjx0bCy8QCZ+kn//eeM+38j/+v//VnT54sJp5f/697+9JCSz
OGywCHZhqdDE+PjAmUByVYI96rXimN8DagKJ5XQVYvjysqWoTetu3LCaHavCeH53pf58pt5/9N+2
qE8f/WmRAryyBMnKek2F1jHlx8SJI3NXpcGPocYI8+tP+9uybuuqrSFSNBYUuNB/KlTfrYkJuEMI
xAX4jSQVh7AOWg8cULXgINLNJKsHNUySLXeaCFS0IcCNe2BBlYqh0uoelrJzJebwPsnT89TaJzMZ
0Vlk5qpVMWLXAQISrNbMfZILzaC39Otvr/2Dr++6mrNo8nlWeKCWG/nu6+tNLm2LQ+faTLFD2YZB
I6RsFar6XkxrpZ2JzKxwi5DzOJ7dLolvRYD2bKxBQRHZjNqrfkhnLI6Jo1JjooszxFYvUwC7lNWI
HWkA06cYB/6ung8JjllEEHSoMBjSHvWcqd4TU6kCL1axbgYZET5K5kM0ojl3DTUIm0+87s3oRtAh
Cafhh0wxjQ0IfOAzjkFPWE+cXttRelOR/SLqF86eHabZ1SOQ+nlrMxr2WyO3T2XjYnHTQKG4DooI
PbKKrZQWuxIgE3+kThWNZmx14Dp3VqpeFwpkuczlk426z2ARj9NTkrdIm90EyFPUNhd6kkH1hMlk
ryxmij5GnvhqauxhRbFd71Q7DTdQUUbfJDTqIOBxHR2HMz8BffI8gHAjxFmCVUJb9WioOqlGRVxe
QdtYRttV2DFGtB7HNIC5NET6j8qc+9eqa9VDr12ATRkuyevEHq06OBNBu8FEg250gJkyr1Rr9kRf
aMgklpDfOHmJwxKtEqp0T9fJC0AxDpK6atDbRIwiMvhZ0aEWNOx6WMo2t8aUU7NbYDkeCmM28DxI
/CyX9UlzsMx25R1qleKPHeHDhvD+5dWXnej96RYZnWC2iL4YQwN17qfTLYgHra5oVq+7LENGyKS/
ZEJRkw1LH4nxvcXSdRfHOrGGEeHKUcBoktqv7ld4cssjDoKvo957cx9Afug653Vc0pmNVM220kS9
ZbmUtRF4gm8SXczJHgP17ec79f83tbupgi389JLDiYtl28TP7fvdiROhyzL/zze1w1Oed//2P57y
6n/+28WT5N1v/sHP/7G72WxUaA8FZ5UlXRGL219sYuMLdgXGx8D/+I+1yMP/3N0M84tGHqPGTaZq
JiGRxUz+wSY22C1ti4JFaGyNFra/f2V3Iwnjw2OKSkHQu2OL/bS5kPsYal0HeDBnioikNBg0QFTA
h8AF9pcVdvsSHU8A6EVThmhedVKka/x09cWExHlfhmG9oXlpXlrFGPm0UG1IIsh2sN/mrLYBmL9K
CbVy0+Hq9mnBIDwLDLmqy3ba55wDVpmE7zC6mdzabaSuZa1GuzJv6isNlt43PP8NI6gy2uYaTfCB
GJQLPIXunugCck/jIidlIGoOedyLla658ZOD1BuCoo4jNEgqt/dlaZi+k4hqm8L53vRTn63KaqDW
H0IjuS3rojXIDyZuY4aQhQO6HNvX0F6YMLiB9bu2UMqbdqrpFdS4J+kFOPqx0kkIDpwygJcvXqjl
ZnRPzN9phrA7lEu/ygt0evllZAXPGTne/ow48aJOerZSWRA1k/bIUufW2GlBah5SO5ruuhSo34UE
Vmh4bgZKB6BgrhJAaeUm0zj2Adh3HaKlIbgw2ZR/APXsaSBWig8hToPnhyeXBaF5JQIw/WZjhf4W
xm63U0WlP7CnjLanmlFxgOpE3EPmdi2Gj7h57owuOBgdoYRbOC2pCqFFmvtBAdYBOz1W7hSFqKMT
47uAn+sy923S5nmXjTMt7ThTmgsoKNWTUsVsZqTLu56SExsSq5nqM7/lX4mriLDNzmjatWxGIlBm
Q0dubWn+jBPZj5a/aRAcQ7BP3Ok3kDHyt3rgLvg6uTr3aSxQdWPer8Kv0kB75AGArVHj0fbVmI1i
U4EN4YRXS5m9d/M6Opt6rnta1SxjhqocoEEqDaK5uoumcxAGtGSR2yLJqCv93PAVn3AvdBpQXhhS
xVSj7LIV8n3QcKLnICdAp67IkbQgbiDVWwvepsriO8kc6vG61yJX8dDrkSQeDLV+Y1syeHLVDguf
GeBiMxFWEMMcmwyZCVyg2q+14ghKm6QZu2yukQ9mDUNM8HMbtHEJm9oc38QiQywIL88bA/CUqDdp
XpmlBoiHmIKWLtgwS7CuToaoOKFj+BKYyvQ0oyH6CuraMeFMacab6g4Or3Rooi3o2aIH1OkOzSQj
Btu9Ypbb9qecKtzwsxSsKJFEOuM04Adix8AJL6+ucDomKW0mlUWQikbqWrLkjNdRR0p3Btj/FoUa
WEijUkiabtnxIfUReUDM4tipr5h2yz2AB7pubT7jta7DgiheBXryQZvsUNIYdBn9j+OzrvZij87W
fCZuItupatbekChZHccuTP1Zq8WZi+IiVHWq8X5UkvCJWoIsPMAg+2oCY93oHWKBzGrdK5vJ7i1p
ViSdGzMtYS8feu7TGGQtcW10uXzUrzGZNpbbVeuhAYzJ0CG8dfUKLkRfua+NXmKKHlulvXftOPpB
I374EQZJv7HIjr9ExTiQA7LQGyYzPyeuabaLCoMOOG1Z8ag0E/CRFvUCiXSzWh6x1qv+AL7wkX8k
3yWRypA10YQ3CBelx6I9LCqLBCe44Q7Q1HXcO9mxnQzz0RGhzXmzY+zGWBW4eIvFe13BUWACVxHD
oaUaALJeN809QYAlUGtSWHzHXu5aa+vBkVDacQelxYGCi+54PVZOcIQ/nNHlVlQIlnVjy2rN1VGf
mCWiHje6fK1K6d6Uc3YNOXPwQsAIq144xQa9DDGko9lVdxY2h4u8Qv0ZChE/E8UoDp0503ruO5U+
7pjt+8SI1yYjA48Y5HSnxySOZ2Y0rM0ahgSverNmBm2sCvIa/LqFyW2Fo/iehRLYXByJZmsOdKoZ
XcSXeOPmU65aGlgkpUG1EfS+WjaMT1nnz+CeiBhqSmf0emhBW2uIxBnhS3qnSSV61ezCjZgMoaHu
HN3FnT4mO1zAqDQL/AsFIdeHygVHJgBelF6GILX2qyFPTqGZDyAsjGH+ASNV7pI0j2+gPpLXMbbX
2FNd3FUJ7+wKu5f+nX3bBSWIqpkhzmRdz7ComTmTRuXVrpofnFZOxZUI2vE+GcvojVTr8KZLjOBO
r0ZQ2Yo6uD/CQSZQyhpxqYV68zSQx/4NQnrjj+pMChAugJ0gFc5G/6cpm8KiLlrFSBmu89GwEV/O
Fn3ieTj2jSIurTqydZLdtQC0OHDkWQ2HvYuWdYN43Ni3Sg/5wtTadmMrSXZjoobAOxJE2gp4HqEs
phEjErL7+UlhzM8wEtY5CPS0BO0GpOEYxVgACH5RmKY64jg7ef9dl2GyoejvGAPlqCzcHFpayOEc
8V8QpJ6mieJQp0Z1CZ2VQKDZrfVXgzryErPLuE7lBPeAAFdGlJ0jn4MZnaI2F/oGurFymJ25e80d
lmS4Nv0tsYkhKggBut8gwZ3yNUyf9BjvDc09PbwK00hliJc1RMyapuGFjWXgXKJxuWLc3l3Yg6ah
zVIH31XUblsZCYE4omSlU/iZfayF6RHxynhOmFdu0aUnB2k5NVeTVKNggKjHWFmn7JmCHawHeTOY
zbxRnMC+k4m7SGwHgxoJNwajwPjCASIeoTTfy15BO4bEhlc7seyjy7764//uMf7/wdwQDZQGp+V/
fkI/PqUyenoZXl+rDyfzP37uz5O5+EIXgVcRsyTGW5rBf53M9S90GTmVU7vh0EcL+9fJXNO+YBrF
62zYbC5LE/Kvk7nzBee4BlOAE7ut0zJy/5WT+RJF/a5+BAoAXQ4qgKpZFkNdbalI3vczkEYESCcK
gRAFCXEut2zl2THMm0eGB2wytuqnFq2oBBlN4ACfALd+H8EnOZayfzCG5HtXNZdWM0+U+H23o3tx
Zv5ne/wWsV92CDnqCrFxY2YPrcNShUr7YWBi6SINp/3KqacjpATAkoeP6urd3fhta+vnL4fVWaOP
i4aMWubTL4eSMmqJLBBYnRJfI906Dd6Kpjqr1u9a/R+baBZNO/rFALld+GYUYJ+T30Ol0ew+z4WP
0hVBTYEUUMEbggq5Cv1f/1JLYsy7W2YzlFxW2eU/Bokv1ueSn/11yEEU4biy+mc7qEnJzItvSKSR
e+GkCHrYxZnVp75aW5Vv9530aMX1KzusI6avQ7ubu2orYvs7f+uOQNkT2WEzBu7mIVSGC5Lynggk
EmZFWJJV/mig6JHWSHEGYuU4iZC1zowHJA4qJ4BO7g08tB4z63GNSmTwo2B6svr5e13Hj0Ztc1JK
VdP79TXQljv3vu3BL4/Pl06uZZkYcPTlsX7XhgtMVLWTgSKmdJxtlDACykHqV1GLJiLYuuVDlVts
Ir2nRxnI24D5fJ+/ZGzPv/4iPz/o4xexNdAHBhMDiAvOTzP6uy+CvhQ+V2hySG0Xh2Jdc0BS7Acn
lGyhWvacdXhhEk4YWXbRdPNdaU5kcyf2lpNstspd/droSPMaY3806y0nsKc5CR/zSSMo3bz5zZdd
po3vv+wC/2AREvibkLyxhHy8amQ4O0rajoThqOg9TKihpG/eiV69rRXrRKV2hzx4D6R5N+MzjWv1
XomQRXbCWEWU382cIAhhBA+kk0DViKm6dTdUjVj9+nv+7e7yPV2YTTg5eZVMVrqP39MMaxiIsa34
iF1vK4zBG84lJIINI2DJjnRfqSGzZywmaCUDRJ8f+3q+xcWz7qB0/frLfM5V+vRdPk9wVZS4GdDQ
wA8KvLIYD1JXI5XFWAlHpx/6u4/7uSZ9ukcQLniakAEzm1M/PdlkOqfOnNmub7QznoMQ0Z/TNn6X
DzwV4hY9jr5xkKPBFyRusF5SROBs7oUaPdoTyaMJBuV1OOQIctziIehAVkl3kyfyDpFiekEblxlw
4I6bwIyv3Vzt/BYgjGLMR86LYpeg9VsRX0Tkc6+vJqoTpIvdBVwOjomFifZe1MesxjdGdCXIT6gq
Oyz+BCiYlMtw05OV3pBn2hrz+dc34uMSS/uIh4JBOkAODTgHk+GPDwVkVUI/W24EjQ6EvuEmqS7B
jiCEPf36g36iRD7eAnpltMQ4Q/JBhvlp2zAJctKLgHfaSGykgOkrqICU+12BxHcN0Ocy+paMA81z
ZJnddAPU8XuAg4jDd/DY4OMsTIkehggndRF50OJpG+xs2fbX31P8/dH8+D0/NddUSPuhXiFVR7B8
nLRhI1M78Ui7egjYoFc2igY/qvp4FSkRstaxODVEXXhOBRxwRpoEzVW5tIRU1uNYGzsOo/0JWQhG
RELxyJh3gm1YWwIXOn6ZbhDEIdXtJSbgnnCQDi1L2484lCpsOS4fjLGRRss8gQarhb5SBsQfiEuw
6ettR91Tfhvb5ClYLHUjuMzHyezuEcFZPgPx/i2nTUDhHKKd6+rworDKeZNC7P31Nfv7Q8Rph2kf
Rysam+wgHx+itHU5bhiF64dmcNniFTGx3sUGCoZK3/z6o34Otj89RsuZA72objAt+qkOeLc1jIla
d9IoXb/XZ+PQdfO3Oa6Mi6qZwvtogPSS1fXKKqaTDN9CG2ViieBmBbaB4Pi2bHzUQBY3xWzOoNx+
8+U+9mOXl4nRlPmTpoOdHnXMx+uQJb2Wmw6K9STH/hVuEEhfzPXX31yBzycVPgUN7jLx4zM0pqQf
P6XR07DrrSykVYPYd1yaA0CnfKB/2zmOSn+S3c0QVtVTVptfk2G6NnGG0CpDJilQfdfzQvpp4mJt
y/FMEyg6kseCLTewxW8OFP/om1pQkMB0kScFo/bjN22piqFroyJ3rJJVJaaPm+RoWyo8L7SIoDnb
G3SFFw5B0r++SJzkP+7JhK7r9G4ZxLArUxR+/OTeydu5hODg55V9Hww2SwxVnot2uNBvoM5DyK9/
85HaP/pMvIK6JeD5ssB9ui9uPqGYSk3Xd+tgi3UV7mJcjYdK2IaPm/pY5kzb0/5rHQkSNqwn8rMj
L1B+MOMIvUgpy0sCu4ERG8Sr2V6c3P36koi/nVMg7HO+44BrE07Gyf3jNRmVWitVvVV8iQWRZsQ2
MINNkPC6kApBsFY6ZxeCh2gY9bfEJMBpth6B1hN8bwXfm3oGrWgJALT9WxJFm3zEydYDZ1XS+DxY
6baKBrYq6KVIhZ4t9tu1DQa7p+eyL/njGWTCISGmAq+t9OEX1pvUlK9Trt51k/iuySWGvtj0DZK5
MBjW/cIA+PUVsD+WZbyfjm5Rttgccnl3kB98vAJFHLdUG5Hty96+03PzmrYEydkQPatqzLzMbZs1
qPMTOkCM/gjSs5Ko92YinrwN5U3bDDeigS6NINbx4lR4o06md2ujJMrVB7smSCJ36dNCWz+Gsm3J
/mXxrgk8bAbwG4DFj7haBp8WypNjloCDQ+e2N9zvmh6fNPI2AGTvG/IJ+gQr3kBwCGL4+QXZaQUD
pr5sutjv+aLgo66ybDyOSXJMQfSvxppE2Lb1FcMI8bAN27a1TqWSbmtqkPXopjaCQfT7oqB/Pxr1
uiREDC0aiNU2H/1JS8dNBHbHGIny5Y8Oulk9D014VWYP9uyu4/b1N7eCK/1hFXeQn1Gk25R2y4Dt
08rQWXjIbbyovqHDmNmZ9q4vdzXpduWfR7//04PQ/0a6HSgGaGOWMuOf91BOT0Vcdc2H/slfP/Yn
XlGgwjFUqngBwhCmFwedASwjMhr9Czw426UGFMwvnWWH+XO4qZtfLNCKOgs6/ReTTfivFopufHEM
hqH8iwayHgOI1b8g3YFB9/ERcVTL5GOYvdN9pw3wWeZnkoxSKSQ97ZImzndTBIqFqdiBtqnBGSnU
Q7IHx7sUUvNW9BkH8mgev+ayVW4LLf7WhG59UmpnvsGQPV7YLFs3shfXWsHCn8L1JvZTxDt9LNUN
GW4hkXxNcE8xikg6VfaywYktOqe7yFJ5oxTwgTH/Rj9MBVWDCYneAz9AP5HaDzNinpLssqhyRd1h
ESMJbvYrkzYAoRgOxy+8S/MwVacmERR8Zj3h/VjMQ7MKnSiuUnsHRkKYULzc8Tbr8ughrqrXdEY1
4YdI+RtvjJNHotx/DLh5drEQMHhQtnOSQ8zHXudLQyBhFdObCn/aFxA2LsFgWOTNBPlNEmb1yU0x
WhBbsRrgxXpNbI5YtwfNIw6E6iuKH/oRAwQ0eQYKP8ehUg6Qt01jr2pNcp/wJoOuWYIN9FzzJI8I
Q+E2r27UIXkZTAkcHtudB/c/kyxQxMI5Un3MNZpEqKmxJlP1hJgxRXjbD6PXGoNy23d2dt1nlrLN
gBAWfiUC9dpkfkhqeThEcEUKrVc9bVmBaWSpQUNZmhKTnUWAvEEjT9fBMtLFjE+0s1k0vd8p8Pl3
WRWFCmxX2gMs7G3CKBD7toeBLA0uSJdq+03kKO5FX8ruW6szrt7L2pIR8VFEMtatWUMQI/QBJSkz
AMS6nPoDLwGyhkUR286zVRvjfVGMBUQrV9rUrfbPJkWet+56Uib33KL/slZ5TWfHAzRr9qthAEKC
pTWJH1ppNae5bUW11kpw7F6oBQIydZFrfjtwcmhaDNUxtugVYn6c7wDEtOspbZ0SXZcEOsFRI7PX
g9AoLN1GG4abpLGDaIcHpqsPPGEG7SonDGdf2rV+qShD8VZWcX5hN4Cy1+2EvWzb46bknkP1Q/2T
EmozaI2JN29wr2Uf7hkpW1gPh4CcgnTdqi2AdeztuHQBYQjj0lHFQybt85gwBs5ilazhuNlFpH3g
3lVPWTWHpKWXN73R/wgqcdsV1nrSxHQZuwZ4h/SUDyTeJmEA9rDcW9HJynt0oLaLOTicvbaBECJ0
kBkEX+X7UE2Nc0x76pXHmQ5VAQcMQ3Ib07IbnWtVrYEWLCYGlqiNmxORx6/6ZszXeYucwOFnNK16
yIEvXRNCsq+sKPYHzA/ZKuLgi6HG8stUeRHU87dupRDrocizw5QbkwXSB3ZDHgbSWTNSe1edEd3l
BnSrlOIQp7wR7jCspivLIhzDxQJL66yU3kTY2xpJm/JEgU/wvL0dC2bNs8Gksa/shTGOxb4uDd8W
HMQ8tNSlH2hFeVLjxHp0p/BWz/LYJ1Ww2w5BVvHKJJtUZI6vGXbrdV1gP89ilutGm9aaM8qjriOo
NQIHclcW7HvTvmXpO4XJQvAiP+qQ4jJpc5NRcJZtxIS1vSZdJq+cDtqC+pItY93RmqCFBFek25Ze
P4MBFNKBZ99rr0PrpD/IT3t7tzud/9j5PyiufvJM/+tEAFGSignJlQaIyHZwcH46nRbA95Q+1twd
EVgg2fJEX7lzVmhEklVA28HDLKz1zqwYPabypMLDeWAaFsAd6Hu4lzkDQ9bJ1uKts8rAPUPE70hY
G9Nm4rmMkdI3GokkzNnS6b5sCu25nwLeZw0DTeDZVWYTIpnPeJOmsmuWarrpD6nGrHwbhZbS7Bt6
3d/aogousDT0/cb8uZooP1eW+ucqI5cFZ6EqKPuunWx9x3tJs6CB9r7qVKFsnChNbtpEmbBB1Sr0
ach7e86G4bMe0JLS23ADrac7ZoHcDK5qbLo45m4m/VEVINxNtUDtl0YXUO0SCPrAwDDgRzg4Q/R0
gNJXfWfczLlGCjPL2ZFTlrmtabswF8Cuo0Fi8fMx2BpFoSMcsdtXGIVYz3vw9rWBhYTBXY1RRqYa
hh/ciG7nYfOftoRB8rZYatLwdBPrVnqi0pL0lmgdbbhYyI74agaUliac8dG1YOLVMG9gLRT3Ue2C
3goszHhqfhmXTXIxhZo4dygFiHQNwuI7i4IEG2PPGyYnpW//b/bOazluJAvTrzIvgAl4c7lVqEKx
6NWUROkGIUoikLAJb55+vyz1TpMlLRmzsVcbe9Ed3TKEyzx5zG/wRhN80Ca7HeXg/0h6OPOiyu7b
ojaPrg4yrMY5z7jW4ZnclIHwSGPbXlfM8RJfxZIy4DJFBeIW+0oNonZqf/fR7Y8MrejvYnS2Nkj5
JN8BSLFbcR4c6JoQvUZ/NCErD/q9oL4Oa8N4sovYOOBvWeKW5TQJ4NH2rkghSMJSinAIXyKjMY6c
duBOBm289BO0yN25bfDSQJCwM0PRgvZt+uVK9s5jmqzzjjf3uUg4/u2c0rhOAhCuPkqupjQesOlE
uwAoFvYMMFALGQWz9SPRaUO5jfa9QTQt3UB7pNrqj5YHLMXIrqCfop8Tf46pIHz4ZPU4PQmskpM6
uKFbhenhMDh7NF5+lOls3OSN9bNGvfAa7yo7NDy93fuz5h9gDX5zAHEeMTmBBA8d/AeSGtNxdP3u
vqzN5aLDsXyTSZzayjL3o3Hsvisdbjpz1o/RVkryZetu8fX1w9IQgha99mXFBzyiNDZuqia4xghl
2Vr5YELe1JaQ+VK9t3olNDkANx2Zu25diX9MRdsq4GPnNjKAPYRFsoR9Lbv+epVGi3LTskSeTeuw
nE3mx/GMJ6chLgAPwXsyFpfkw3Bvktkz7nPMVO6cKtlZwSiAs/jFNpl0uN5UIOJIy9xU6kGF/RMG
8rgzBwO27ZggegmKbm8jT4NhJsqQuM/wu8JJQjCuWUTXnKl5MZjLl9nxRpyp5sX87C0DfP4RmMYj
Lon9JxARoKgqkWXPMGJBXeE1nWIenPSo0CDhISMN9YhkVzdteRmrM7pVpzWQKA5ueTrE3dOBjj9I
Ig7+6aAfT4c+qC4SACR9SAaQAlNb8pQkuCpfwEfx747K/+066v85loTSl3+z1PpL5LkoX1Zaf/+V
vxkS/r8DihtIcr+AoqqY+lVm+f6/1aCaYQRtvFdFls9wm18IKM3gy1Dr/VNkef+mZjZ1Jq+2UguG
b/FfFFlnLCLWtq0qNjpzDIXoyztnDZHYIo+eKtM82GMKLKPFShb/r2sbEOTRmycPMa0VsrDCNE4y
mT+KKUfYzaiCTaP3aWgEwNjYF/73LO2MEBKw96GCN31Ra7K/BnuYvtPBed1i+/1+z9p6oOTcXviL
cQhQbz3AJUVehoSCfm8c6lKnzwtG55r5S/zOVICWxKty9PdLn40FpGuXpMzWckDYAXM0mu43eY6e
5NrMNaLMWh2uQYExoNGWGxjCt/OITo3bBJyCXgAxQTrtYVkrpFq0qdzUSlnEa9Nb9LZhAUjenmvN
SromgUs9LFvkUKjv2ko/dCAKJajTthAfkU1yAOph7sqQqPDHx1xoyxouzdTc1WlZRym0dTpKeoLk
DuYpeYHTTiHN8ohGS33tDIG4bgHhfkmHqQ/R3qyvhFFgG1auiB/KHo0ZDMLRngL1HmkkKswgEFpK
JkP/aE/1fOFhPhwVVuFv4jkR+8wbvmctutIbgvXwKIWjR2mlZXvw8hhuJ43Ytbiko8OUfXTc+HZY
pvsmk1RbUzgV2qPdVcFlTwF9XLLgcwczMXICedkuth4uqWteZWtyXZYlqnoJXVQf6agNBplwPJGY
G33vW18ifzdOdOnMIDtixqdtzHG5nVFC2Hd4qO0GhopbLbX6oxxnxnNDDIMRMFodr9Z+bvUDPmYP
hT0f43WJIWZz0pB+mhoKGllzdI3Y2SSW3uDQac9UJWW3F6s5RjWKoztzkg3aaQvC8otOBpXR1+6E
7C+c1tW/TgkSAG4y4WcCOGtBc1bcIzFlHdk1GJ0Pl/ESwLrxzZGcb35Q6e89uWMPrAIpHekOe1qF
Ek0H7QG1oWmHJFcAFIFvQusgvQ0G5oEjAslX+DLCm8mMXee78YVfuXqEvkZ8YQMK3fom9UZTAwah
5exsAUyqFiLW2dpMmZgnOw0VmO2YlphutSBJUwyeRc9qRhNL2wMgwbDID4CIop58iXsnohACyy99
LJ9sr3roccBplQ5P0+CMmfoPuh6EnYsaCMBYGToT2kRuPh5cC7FKEg9vW3kAOgvTV6RyGU6IZw1j
gJ8CXxPpqBhhUOrqjg6Ftfjkk0AhrQJpPw1c7DYuMigyDbQgz+cILqYP0KD1Sw2/8407zVM4FxNA
a9l7l0st878yy9BCVNGjebL/Au82hwi6aqhGprQ8huzGRWNzAxDeDHsA/Ns+0+mFamakTeAWTQ0m
pAu2z5wBApcBhvH5RVP6H4QPJqFZ5od+FpeOFNu+T2/GxpAHJAvCyRt3c/dpLZpbrzE6CI7DhzSV
/kezycWeodGu0odvuTDjrZu0121uhktZPYCI3JlzsG/S8jvYsl2/MtIpPBKxxoTLSn/nBmvrNDKA
jousuRdTcAQeczt7yTFD+/OadBlrzHhZvH2CMDxMddQ8n8B4OLz3Sv9r7pZ9B63og9bpjJkFc36Y
s/P3EUoRwk2tizzmbAXf0oKKQ+exLkC2AbYrAnsBwT9YzB9lsafLRdqTDkwVG7wrWymqCzPH75TR
ZYI+S451X0yCXYyAPdWs7lDgEqtQ6oi+2frHEtbMluhH1aBPw0OLPtB+BTeKvramR1NqdAeAAQLF
5crTrwxv1i/QVG0/NHE53E2DJQ+ixgEpRvPgUGR1Snlqpdu+aPUroL23clmOrWktO8fNH5Yq6495
DFHAze1PA6aou1Z66CFRf2CSCY+NMWt7Yzb+AFYxTkOUiTBibOGHZTnQRabw4iLxlPOGhrIHqt+4
U9IIIth1Duo72tGLV+JdZqNI7UN2Rq4yND0XsvjEnFoz6mcvqQ56L/oIiwFzqyEje+gC8cXSUJ2z
RXzvCQsjsTTW9gBW0fIf0xEprcy4KGVW3aBC+eHtOtuiP/ui8X46xnwImYynFH4uOC+zKfemrOpW
ipqxRMtSx6oWph++MX7heaHWAg9BtC//q19lf0BjqbnBPX7GPiPQL/Usbi6DqYet1dWPLiOkeyhw
AVozrZrogW+/cZCYOeSGLsJsLJIDQi4VPdaZ/gTyfGFX6ce20f2DJ5NnUK/MGmCdbcu2vOc+tF3S
F9/efl41c/unq/D7457NGTK7ABSfO8ZBc7r4AxwGC1o49ATAp+s7w87XQ/C/L+VRcur8C3UC9fsv
BtO43sRln8/GQQzeM3JrDVIt9lcLxmnYOvLx7ef6DWHIFwRY+8/VFIrhxdU0EZcj2nfmwREjuieO
9dkq0+Eim5IfhmjBKrt5fzekcKf93kQ7VpsZQuYS1X0kE66DDOIBXzLsWJqF28z7rBt6ZRwHunaG
0igEnxBTO4y5+8wJzaWu7vQsrfB1Rqy0mLEKNtFPRFxLu5rVQd2oIxud8Mu3n/NP349JrmN4lqEk
686QBYZm4+uVd8YBH0i8z0r3UGbwmUTqvHMh4/V09Nfne3mls1QYAFeVosZnHUYUQQ52HPw01m7c
FLqJ53XuPrkmegezA1A7UJmCROs4fPtZ1Sc7W6tk/Oige0De+LRq6774pNgeIBXCOXJwGyfZIg/G
lMDCmq4MXO1OjJpJ2xGJ/neW7Z8e/NVlz3Jqk+5kq9cgnDXbIQy0zg8vx258amM02FtdQ8h5vsEd
kMaHynK8qc/fefA/3gIfmVGTgSCcHZz1/rCnpBQuhXGwBLaTHUeicDpc6lzkqnpsQgrp3jo+puSZ
5X4l6jfv4Db+sHUp8/+5/lmUGKagg52ToOlcDF+tTsw3PdbwaK/S+l+05B12qaoUzr+z6+v4SDGR
A2159rTpJBA0qn394FhddmVMEHBEhxbg26vpDzuH9/nPVc6eqbN0i6lYjfJ6PxubiQfcdJWN8Djo
1f/+SupRdLyxqFZ/C3wyGKp1ddGfiacJqTTjc+EiWoqg+9vX+eMyeXmhs5hH/TH0ULNtdqf0foqp
v81Mz46CAfF6vKutv3L6Kugxq/S4UYmyKXv5DoztDyUzqGQPhr2vm0FA7f56l8bpPDUII1qHASVk
JHfa8UGatnFBo9Y6SGv+WEvmF8mYoBwJaxFNvbTZeg3jHK/UvjEbzHdI8nA6kF2g0ZGUn93WKu4M
YX7KWmZ6b78zZXd3ttiQPcS4ibmMumPnbBngZZzHNLW5NfCG1eJAw0hR4oUYpG9dbb2mWUtHctAP
Q5fOMOJRzaEI1fYoG5O+OxUkOTgpYTtWF6Sp8S6rDTA11DQdbTYI7s2zlFNyoTeKrGXZlwC2GwRz
cLJH7k4pwop+J1d0j2jyNZux+AkSxtjgPlACnx7tq67rfqU4/79R9Q7zWUEpgFm9WB/ht/7bv375
Nd58K2FN/4/qx7fyW/Wvb9WPf91A6Hr61v7roiv43+5l/+o/P+lvoID1byB9OvMZYoYSm2GN/Qco
AHTUAjiP75nnQLf9D1DAsP7Nr7BDFNrYQzGJ+PQ3CxpSNYJRCH94iD3o/In/igV9FhU8H+QqPA8d
tAIzZ1b62Yak5gc+kCdt5JfMQpEgNHdsOYu6LrgakZrHKfjG7RBdT8xukzNUeGeL/W9uANyj6fF+
gBa9jghoX0l/shEGPPFTrXUet6CbFc853qWKWDQwGEdKgfwqbYYNwoPdO7fwOtb/egVg0HUDtztX
9xXj/GXm0Nno2xZl0UTMdpX7ufcwpM6NaN7TRThrgv2vC7lcxvaQbzmHurtrjK78UjdRVYPX6ZM+
2Hu9fKybMtjDjxXbxUV7mdGTtRkRWdyij08/fjbvHZqGV2XsaztLs+JvXeZMuxaDiw8W1jtbteii
wJnbi6FipNKW0NU1SdmR55gKO65E73IY+x1lw0oLx7xrNAgIacyLXBr3C8j1C73tfFQNGzhyFcRd
CjumVs6aXi/xx3WysWEuoQkYvrPH4xgLjC5/Nqw133Vj8VRppR8W2LqsfvCTVsgHa/U+v9hnd79O
95fzTeN1cnd6c6wOHcUdSIkYIJ6tUiT9OhdzrzZKpxI4uVM+VdLPd4zSubW4ZXS9Fs+cXrjhBPkT
tDjyTFjA2wadsUXU1mbwqy6M58nZxpP4NNYcLW/f4uveqrrDEzgbyg29YAoYtchepJ/eWunMGBoZ
OUyPd2JevmQxyE277eHEm0ziU/pPXjMG7yRf52QPLoy0AkhNBBMATxJGXl+4lIEnO/oAkd+lxQ4V
3uzC89f+YJrYXSZW14XCW8dt3ZrOZbnwqjC3l1vPr1hzSFeiw5vsIRkGkKjY9ief4iCm+Vk30xIV
gD1AnZhocS0a9Oa339m5UIi6d+welNIXXDTqsbOdpw+BPS6I70W4bFYhSqzOJY7FGOaM8KKnAddw
ry+iPu7LGzn7F6NlXKgWOlz8bhOX7sWvT2vPe7wwXFQIN35HpyXQeGhv4WnwiBRb2nXf377v3781
DCcQeMwW8Gy1z4HKPTxeHaO7Ipq0FuyKTeAEcpz/etGtKxErHnAvQK3V/K+SX7XKuLJClQHvMiDj
nX3swSxjmqAt/jRjJ2H6BrQNFZ3+7ed7nfX8uooCHJPy8HDExNdLqipkaWlNUUTp4lWR1zb5EUWB
p7cv4p8jak8PAyvNBI5nULWYZ18fwQt8CGh00N8unmMvboE0dwEKU5XVwWclDgXaxK4FmrmrjJVS
zimejcRe7xEu3TnVkLKjl2Br2GgvlFQ6aCsk+qHoWOSYqqERruMwb1VgL1zIshDsbsx5aS/ENMDQ
QEZwM8LA32vWhGoDleoO0dRIR3RgiwujuRVNoO1qwR/rUse4YrAE43AAqxPE/H27Abu2rGgUQRdg
RD2j74A2cM1ERQR7hMMrIFDSxkC9+zRDMiSbpjEW99kTM/YnJ7PuS7nGx1hCdLGt7BkCf33oBjzu
9KA6aHOgbwd4lvuiFs9MaBELRBV6QwsY3a0xYMEZrO8q6Zi7y+IJtW1EjPLkIwOndT8WwQO8R1Zg
n3Pf1n0lAvTtUswxLbNHfZ/dPqkDBu277rOcnW5ja62P+F2FrZ3NxYogs78Z+sLJYeJjVkziqUtm
P7SAQ2CeVjRbYTpfqxaDgGQowYRTAW8ysZIrrK6284rsGfFvyCdJzzC75H6Tvv8A9v4nTvdYJtJ3
TybcyEafs2UaZLdjzmyEGdog9LO0Rw/aeGjHbbANUstH3cmKt4ONZDCxrIpyRzwxgqo2ToMzIAJI
SJ4u9ClLu7xyQPlkRvDQdGXJNmz7MI/9NOJYsTj7RhvfDT5N1bUfXLFipSuHW3KgKPaqp1bvGK0M
UEc0D8xyMPM1y4VgiVo0I3FG6E1TPONYZTKZGi+bfoRHnz8XcOsj+sNdmNg8aDeVzmayrlGNNbd+
NfohVISbPMYu3mg4A9D8z0NzQK4qlqzzWp3qS83JlRtcahnzZy1Be8TlyyIS8ewYOMrneuN8GnNU
VipMKRAbKTtks5LnWk0QK9RLMCSa/FBL66sZmYRNmpNMFGv5hCJNcTsEBtXKqPl/0cHer9j5uJaO
i9+iI2ECS5tpPs9IenrlZkALTh+G5OUGlF2/Q4gRwqJau8vEstFlYAJIRMlbpuLJjzmNncS6x2w3
iPqlePL1EeAFK9ygZ7Y5Ldx25b7jat57s13tjNIFy+g/yIBcK230/NcWKFlhhmHdd2jwhs7Isc78
BTeGmY81CJUQafy8upTWxk9ZQZbB5+90toscaiZO5pheTTpNUGPChE76LNq6F0+nG+d2SbSosvcZ
/J+IsrS9NJ2h+zwEU7BHiot4LRkeFF4qcaoJcH4c+XbeEuS7FYdVwwVyj5MDaqQ9jLNsHq/A2TCU
zONsP/cxKhcEMK1TAcsD6rfyHCxdOCXqAwOouzeL5rGW7Ct3zp4bZWSJi9nTKVwMXv7c4/GInyeR
oMoSLtC5SvOcE0S6CD22Rt9tGDhmG4oBUraVlI9E3gPvYRzoyYFgqf08RI3PRxXCwCRklY+OWV+d
Tif8GdDoxld0D283Pppu9rzocXxn4qMMlQAhexfqWgtaGESWGRJPf4B8AzXFXBr7uLbb0Mb/2HXs
Y1vj547EWqAdvJDZiTDgeepJAVU4W8Ckb9LCvTkFpcEhvKR995jN3JsY3BuzprPfFM499U6FCxBb
BYO3p0UTmIxYbcbMg497ytNSlbC4wtJ26thxa+/m9ITTkj+rLdEI514dBWhF3feSGzt9A2kGGAtq
E9MYUG35dOWD2lPqNCwbgEyb2IQoWBvto57ZxpXTZs+5TAo66yyVVmcxniKdj2jQ1mESVy8OERWz
UnhCwXTb+Uu/mzX2b8bOZMiw8rd8WzsAcI6Pvfo6M6LvW6TOrtak0kMMV/kluc7HUyQWs0rE3KQI
J+FzZtj4aS+rj/yaVIo+CdjOdvXnfYdVOVkMH2AQg9yLekBKAcmNmzrQ89B3JMdPR0RgDfPj1bli
5dxUp/L73HXuDfxSsKlYIlxc2IgLL1KtsHnlT0Jyu4dhIveY82CdXbPo2oDAQ3+QZYqdDYa6fBor
IKFQX7fL2kfEphCKSon6FGpV1CT8wGakcDnF30JFR2xWqgiIt7XRghoaQtb1O3XGIdVnId3IqnYG
NpC35leuy12bDeEmkyjMnNJhhD2K3TC1+bUWF8tHPW0glZTsbgsNgI0+54CxWCtVXz4hQPEM6u0B
Tf+FA6OlIzLyqtVpEwfExbxnC8Rtn1/PnpuHrgbhEHA76h89bBjHxLhtwEp8j5gHQvhuK24mwVtl
1kN+jow2GNIU8HPNgbf0zQ1RsrkUdtojE19Zm84pXRRp0zkcjDXY58Pk7+o6gK4GTomZzrRMmzh1
mImD3H1KvXloSadtsR8NiWCVL9Ax8FJSjRm/m6Z+jME17meKv+9akK9/WUUmL5GFn8NE9n9l+NxF
lGIiNGPDeGSSAWqiXCoyYkuE6WCA+rWwiATMu3dWKjkI9io1kGN90Tqpd2cMJdJh62Ju7Ymxfq7E
iHxVY+YpeXKztjeWgXGFZ88A8ILkCeT3HGaeiVdAzszfnNZunyNNeIlhJ/P0imCvKtHakzmoOaar
HO/d3kHT8BBoZXMjnALJoCoT26ku+p1jl/q2G9p6MxeJTY6CuF9a5py8C29sNNuf2UrC1o+OcgLF
XVqPwU/Qj7zog+axUJbBDNvXzYgJ6/WIJ/Am960uAr2Wwe2yYy4Pwb7q+WE2VmebdK2wezaMYd8O
zrGox69JkUw/875NMc/043BC5R99Kfc7o4ddlizfh5nkWTMYyqRYRuFfMSJn32D2zWpomWBWAj1I
HUlCu0ZHNzYFYG6sTLUMWwqrm/TdmNghyfOdBuyHljRpog7oAGklnAn5pkl6zSD8UsCjYxFOHwH1
H1sX6IcvSkko135Kl8XnTWbO6BqhrHzQvsH89FlPBro0q32PxQHWsMxmW83KwyphG+jZ0IWtMLRD
I1I97OaSXasqnzWX2DavhCUxiGdjroN9mpI/GTGRpq7S5aPV2436wiumZZxAduXGz1Om1VsU94pP
FdyLS3vVH0+KoJrRPVYxXZgyb9rvyRrYhDfYj7ga9BhakgSnc7Pup5yMSaeGwy9MMwlcKo7bWn5l
6ZxzCcEBakq/w8MgiAbZ8rdU0wGMCuHAYpv6GJdwyBj31uy3m6ISABfgAGxrtUQpmCN7mp6CcfCj
vBrv0XrH5TRA9UyrcO9ZOQrUfY6+Di+F4NS5BmUhpzXuqdnTYKRPuVM/4qhJjuzo9906Z5seGest
4NL5aBjo0QvdGxhGJXdVMV3JxfhKAdnsdZCUl51uth/x//mScaYlSIY25hIcp5aghihIfg1gV9v5
ZFX40fZk1yqcYnuxggvlxBt9rDAmx3/A1uxJLuUVCcZ8t3ozdIbGupYteY1mBFfQGVzqRh8YhDkh
VTqX6HBB3zNTTFgAr7cMkdwbYJzpnd4a8stJXQ7DwX5n5N5FYbPCZMFqGPBlJcHinZaFGjtC5vtU
WxX22JqYHspGQ4SsZbmZqr8mEjAJeY7Gt09cizvynLxJZ2gO+J9v3EAFaSXzOo6S3LvrgSLAKqHQ
GWUEGhPEfVsf8I2IYh2pDSPInistfU447duWc6irnJvEUqQGdaL3M0WYSncatVbR0mccZoM4SsgJ
KK6RTLMWbadxw4g0cWZWS11AlaFqWWd6WJ7r4OKYtI91ydEzTsN0m0i2FKMhPja2TBF4r/i40PPB
PKeYb3O3zz80w4hluG7stASH9tlLye6o6HenU47xUXUloFVsAWf4YeIHxlUiuUxhsobn1Fq/llgC
/MCfMNjStRjpgCBZEGC3ios8qylYYCAWU8dPactnfdX1pzIeq6uCU++0+qk3d72XYSFkr880IXiq
wv3gzyJyA/O+YsRygNSjh5nUfqpemmOvzWFIgvHawWtls+TqDExYn0ONDmpHDkVQSOR9G1Qlh1kg
t8yHkMvT0xssbRUYyMoxcMFwInf6ozasgogrLxdzXXc2qOeN8j7ZZjafQ2jmbdGOqDjYSNxqcL5D
MGrBntXOETfwicbKvj+dvcHMPk3t+OHtwv+kr/nPBO9XewFyMchN0By6fuIyvGiVjdmI+Ve25JGG
O3oIpzXbOH3/2KC8CdEa980VEw2egq/cr8W6T81yINTIT07z2W/kg+4Lgz1MoavSjMHTtZ3reQ/A
ju90c16xAEXNHQDVgB+ijvDsNN65JQZjyLqTAPfJx1Ov9VQjQRD/gb1M+uzOcO6d3r038hXuqNYb
VybY4aMr5/Jq1gwSulElpR41UG8RQ1ovB5HSO+Reigx6KsIGNKY/gLjPtLi9rLom2NqJygJTgeEq
NW/oJH58kRvG/E7z0Xg9fv/1SpFO0QG7okUBe/B1xybDUKtM2ClR3FFy+N4UH7uBjoRrknSBKvok
ToGXDinweLabMZE0vv1Z/9AUwwuQLpuNfqvq076+BdS1G0eY+RBlXgdZwVzTQ9eSJ6UuxnS5lmFN
7sJGGwthvdOuUjqyL6Z0p6enfGf0DXXShox5dml2NprNeTBEfjOPG4egHqLfaXwQkwubb5Xy6wD4
ZhfrK7guJ7urx3KEpGRG6BQaj2+/ht871dBwdAQdcIeAKK6f9YEHc9BlWk95ZKsgoBoGds+W9rq5
37WOfS8Souvbl1SPd7af6I+i/s0ERTd+YW9f7CerQma8pSkFz8Tyd0Wz+Lsm4b+Mon6Yu3bcgE6e
sC5oC9C3Y3l4++p/aBYyyuAGGJKeRlmvv3vJS7WQi+2jBitPEIJwURBz7N5Z4X94rXSZYeA7Pn3P
3wYAnKYmQGyl0WAIeztgWB3ii/pVW7qbLsA4tS/EO1c0/vRgSKOxcKG6091Xq+7Fa20qJGNm2KFR
IrLuEihWsBe93V4QEmjlTP5DyvG5QQSe3p6bPJVzgcflbEj8pxqsUUbxY/0vlUJUx1TNEWHhK5zH
b4sLdaZWBLpkj+XZ11o6y89fyW+ekeMVc3Pz9qc9qYG8XlkOOAt4zgDqUWU4xw8Npqe5cZV3kS+8
mxbp+bDSnGpXx7aAxc8BbIzuN7vIPkq9vCh072MrYMCPYrpGx/hH709YAjpifQdEcC5HxGtwHFCx
DkudrY0i9OsvY/koxiQw7aIyGOnTFCTPbkOoGXSAm4NpXgx1c5XSJPsMOUYqd3EMm1KUcYVWPxrt
TGOKPA5cjInHUl0tJBnWzWSAzOuz7LvbHZweKOtqk4L0HlJi1j3w6OchQb6xTIYMjedkl3p0ajyU
27d9xfhLDUZz9IA3pl5kW/i0GaBTVVvriEUWccW8PtZKXg2tLDVZPB1s2aq3F29/snMvAN6NmiQ7
yFS4AbyE80lZYIwzMkc6HunoKYGha5Kt1ycgsaaSvpinLGpTS9A6KO1NP4766TFprW7toqlJCD1a
tTEn3Zq1+VHqg7ZzdKZEo8qb15ystCuT9ZqWBJInPp1QVPnei2cnEMjrZeeBR0IJRDHhdSQnXn9f
ehnE+ZZkk6S022SBr6GBa01wW9vHwQSEkbrlFSoV7c7IoB2i8b9vJ+gLb7/K38fCcEgClpfJ5F5H
3e71XYCUs+SIPl2Ez9vRnHgxJitBVLibvn0h8/dIo8QO8XRhCO2Z3nmkYQoS422Zyyiu6Apm5D3G
giFS4/XVc7F2dDg8ulJCdZcbNPs3FSjCjTlg2wuMMQknmT6h0PMkJuZNXkm9l1MC8n7zHfQ4WicU
7/S3r8CE0zgtaMNpKCa/M8v700djgOfruoNKJOpCZ6OpisrVNNZURmkHDdssYPm11Sy3ZUfWCTIf
i75p+KHqpSWn/TQ06fNS+u9ErNdQNJUJeMAimCeifmf/fkwU5tB50jBkpNv1TytYmi2vgYsVrbnF
6u+dq5m/p12eQlYGOjL3AFdPIgwvjggLzh9CDCY0QxKqfS5x1VNjSRxmk21gJA4NXBJqANocESgZ
3+LY+ljPdQ5Vm+Te1pMn6RvLdYFo12Gk8N7kNtZPdkllr8XdeJ1Z0zvqk7+fo9wxJiEkxAhEAiN5
vahbZ/bKbmZredoCjqmTqJ4g3A7Rg/qJVjaOIHrxztDyDwk/V2NFAJgGQwXI8/VFC1KHqW7MOooz
GpvwtW0K8Rl6Sm3PEDt6+qlw96losUKnPXUZWDQqVc+Qfru2K81aD0VFCyFmUIQN49jRCLWMI60V
Y9+QzUqLEjN1Kbstp380V/KtU0+kMiiclNHUvvdUNBMO/Vo1frHNQdznVFTbsrbSg72Cg0uQVd2C
TPtYNOa6MTSGetJwfTxtS7lPPZXMx1MQOWpCCcfs/uSGcppt1AWME2Zu31Ul7Iqey806E4r4q6XN
81bKbtqD8Kv+T8KGawFQ4+XaqGWepZrSR6+qxc49SpY+vQMAS1OA8mVvOjbCB/QxOQMpckVgPtE2
p5vt8KFxsPLDaTDxc3fb6egt9IhOsb40J0aji4C/Y+OSHfa9+eU02oSrHICmKDEcYNx9k2Z8hLcD
4O8JrE98JXkFFKObKCq/Xh9tYjOCRYU7Qh992QyY9SpnR7aEnY6XSRuU28Bfyy82ksJwXsf8nTNT
SbWcJdC4KHmOBSwHOJRxDqEI/DnHv7GqI71gilab7Xxn5PT7/YJOuIVL7KdKOiWSbGl+McCZgYrB
CTlr9LGF+i8nx3d20L0yTFaWKWcXEyWlw+Cihq4bwzFf6kcN5sL2NH+gtWFo9PniOdulKN0+OlJN
A1DNYLYU+JFeqh7frNq5qxT3bTPZn/TCCaUeXLWjKTaOuzr7RcFyYK4/8w9Dj0LTf9pdVkSVDwYo
9xg3vv2R/pBZoIAFxBghMptT2VVv8UWwG5nVVdmU1lHDkOI0IChtNRI2mAhJwTZc+2LaJPl6gbm7
vlkFGQM+tgwP5MVpDLPqA9iuNrC2nNb3hYpvjfuAj4RgLi6/VEz0w2RhFuHp5RK9ffe/xz3fdMko
2Pc6Zep5iTj0muxKGi+R5tuRETNfVKEiX2hHnrpRRVy+E/V+S54RQiYOWBRlyOJysJ8diHBx4qXN
qQRpbcvNAq0KSCvH8WkW050+78BQaCS+gOQANIKtMHPOHiqYBVZ31zZtvnMAsyiPj/eCx/lBebo5
ZLws9ptCDanff/Ex3cXPMg3p/UikDT26lntYSCMGNWUt1Ft5+/X/4XJqi4NUsgyKid+OHagT8Kbq
PJoctWq98mrRSKjsjrVD7fheBnmyJnuZQXrEOCIKiE6wdkiVna3VtB2ZNrYC7Yk0dXCxByqb2pjP
znawZ9SEFv6Uk5GIKuHMIA09CHRaDoahVTd2bXufJ7tEAgPpaMwAblE7n3eNC+ncnkakCdijId2V
7rLwZYU29eJuZF+Jq8rKAtAqKECIta/2neCHi7FVvsjavaAdfpENmDnVWYdLdW0iaen78kANY6db
rUal2MZAfKtb6Ygl8bSnI9ns2qTBGx1ixREsh8ZEJb/tEMrbUrZZEVxA3qHRCshbWob1S57cVtTJ
+xU2ZFhUvh8OKb+RmtqTIWmmGlMz3C8kant8YbPQS6nUYsVgzMno6Ai2tNUFc+qwykvrCEDVAQeW
B1nolk21r6QtjkPWjhNIiyqnSxZbSM43Pnxi7kGTMUL42l+yt2+TVJghavLdpQ9MmvbPanyFJ2BF
6Po472w06zxRh/BBEgbVl7oQGJ4yE3q5loOkaQOt4JQHQeEfTnWPVYAaqTqdyTa5FFIf+q1smgpF
zcnGi2GBfSrVB6xzO/RbVE9A9pDXey2aEKJIvxdmZqFo27go66IDBUvIRpcIfhpqywzC8Z3fM0Sw
t6orsfetVXtY6sm+CtSPz+r+tk/NB8cDbTLNLkgSZ7B2Q1tC5so6/52G0/nhBeyPDcUOJo8h0Ohn
S53IaThWk/v7tF2jNl02tIje2b3nwfN0CQ+EoRPgL+HoZy+YKsyhEZD4AAYyGdbozGzHFi3vXK6A
QXoE8RZNe68qOk8KuCix0ya5oZ4gbJxFqETz3cxNW2/f1F6zY/jVbvGabhi75XhbWoz0NMvpLupW
j7c2dpvvtLV+a6l66LGSICNAr9TY6Li8XlVLUxbIbdbeHil4jbl81vG1rTXMMnXB2AkuZND7EdHu
gbZDHhW2O/5P5s5sN3Jj3dKvch6gaXAebhpoZjIHDakspca6ISRVifMQZJBB8un7o/bu3S57H7sP
0Gj0jQGjbJWUIiP+Ya1vPf71qfmlgPvlGFu/B0bk4A98dMmrQPz3TzavTeetSe673C0AT8+iP1S2
1dGI6/0SdmMWQOLU+zdyMeITH6R9aiZUp7U0/YtWeMs2HT0cQeTu7gY8li96b/JRip7qLm13Fc7D
ewWeCce1x48jU+9GCNu98VolnswEVQJ4dSPbq0CeiZZo8TFq5d8UX47Jz/DLz0gBy8jUJVKXwTV3
868/4wxU0hZcobuBt+pGWRAz9TYxNsHYjFdfP0SAEe+sq8S76VP+gMVjvAkWfdmWBtqRhRJsS0Z2
BzwtTg5BkvogcHLSJtBz4cI1P1u0GAdtxA41+Pjds8T6VpiVFbUdtLJlSbHCCpg7trMQaDh5oIkc
vK0OpMqVuhwRqrOg8GnWHXut7aoWLn23Gtvxne+KTvSw4hZ/17ojEos0uZ81R9u4sSrP89I+LV1u
cQgNV44a+GZtuK2JSMdbM/Pki9bUP/76kQET+OePkyE8mkqPUTCM318/zjYI4myhb9olRcfsZNC6
jQcAKUvUhSgACHODDcZdQvrN3DnemEy8NrnT+ocCC2tIhHK+KdgvY1zmNcvrMb3G5q6/iTn3WC8H
yzVfxb0ZSaVnI2zXBwZJQ8iH7u4LfVxDv4Nrujx9o0skew707p0wie2pOrPbaG7zNJTzsBsn7aFi
IL0tlu7vKps/Eqh9zgx6bt5YWMK8wF8g99+VNnkmYc6ZpbMzRi5vH/X3d3NSLMH4xmNuUIIPh8aX
e6lg31lahcd9ESnRSNKHiZG12zyNh7Aqm+qRrGbkHRmvXYGbmywuJ9d2pmp5MN1E23aI47Z6xzNC
qkK+MTI/3wy6b0QzwRTTnBpoCeyLGq0XWzPgCAXeJU6zH/Q6hFixn7qupOYdEkQbt4RG+mdJPRml
pU/s6VjSjtdpu62I2dm7zAb2Niu/HYtJHnTIc3CiSutvZjj/7tlhc2Ez9Obc+VNROE9Zyo6SZwfr
2yeGCP+8vivdQDKXMpLxb8a43p9uLlJlHQuFGpNcE4zHHwrkamBWpQ+SExY51RZEfPCCsCy9buEW
bnQiinYWhMdT6sr02vQ7DryO8stQfOjTKKjgfchjbBOfxyC+UYl7Gy9OvzNQ+Uwu/Oi82YqZ93rM
kbzy325aasKtFvBcdjnXh6l4mynbP5teLN/MBjGfIQjnNJqmPwwW70BLU3iT97obFYmV7FIk8Y9q
LLt7Fv7x1jDT8VubZWR0mug0CttgxOUuIko0WhvEXMGRjew3ifPgEBQzJ8cSDIAGau+mwwByq3SO
5b4til2/fjtsTMu1EB8fnZlnqx+5ZrQUFPPGMb181wjyqYTU8pOpN7rNbE3/bsVeiUTGYJ2dpo22
C7qKsTPM4J3ggwTMZ7hRyiyICpQXYvmbquDfPC08JMxiviin3JK/njS965ZFlaCK9TtEObnD59eB
adksjQ2EzOGF+Ouj7c9/H1tFFOmUWDTqzh+7dLeoUQYvjbMrKxCaY8vbgGyOVMQ88w/p4oi/eRuM
PxeWtG1ftlYaXpZ5f0wj95G3CTNJ7B06JivKAI4wYPHdGxLt5b5e9PR6CuwsSnqXhI+hO3Q9x4UL
pyNqCMvbeKpmFaC8eDPROQMP4aLSR37VwMRh7XmG3LeCHyVzm+6+6jmunXq93J244+bJSrBbzdu8
HiNJ7cQornnoXKN8Q78oIgKLOd4b8I0Js8kHDLH9cXH923JMix1bhk+B53u7KOez8EqyU/jeNV1O
u9mPl2vmWmYEpI7BStM9gMjhpNI4+b+u1rag1Or8JH1BUWZFQYXg3kDki0aEtykIuCVTHsHrBuLd
tZK23DfuepuCcd0kLXUJuYVctdVAgO36rs4m50dXDfN7vXC+FSPP+SJ4xIuu6w8oi7l7Co7dvmjF
U5YVcFNq7syy4xtqPY+4mpq7PtBStgAzXvt//GnJ845rVdvBXKCbB9o2bAeTmLEJaUE4r7dunpr9
0c4Kj5eF4yIzFPWAnBY+xKk/plL3bw3BAn8g7uwYyMQ/9B5vaJ3ynxD4DBgzDvD4N4i/0XzLfZf0
3SkzUBHVMm64F/gxNcfIT6O2wBsbjT4a5mbNKIkDWGoZn13p+PtycR/d2fuo0OtuitI2j7yd4w2e
GiviBOMpdmZocKKkZMkoo79e98Dl40Npyt+gcQu0AZVOStzfJg0sSdPOr+Pr7fp/5vtc/6KPhlVI
liDr/e9fWfDEjK8myl/+JSLjC7Ds8LOb73/2Qyn/F4Br/S//T//wn7bMv7N0cpGhLgH3DAeMguAr
kec/hz5v3350b/8wd74lWDsPb+PPMvsPXJ//sf2X7xP13C9ez3/3V/zD9+lZv1GEmTasZwjMqOcp
fP/h+/T031bzJosSy2Pm+Pv0W1NfqdLs0vkDvm2kHP/yffJH+Mpcvh4/zvol/2vssj8ebmtHYdlo
cOis2KvTPP56fIs4V3myar9j9chjexs8GDvuOIZz4BnjDaVM5uz0/t56rBHUkWSXP/Yi22XVcwxl
KYs11ML2Ri+q7wFJhEXKIB+Zurbz/G6PbgxZWXVM/fd5ssn7SHL0zM+D+m5iaNZmZiI6itdWC5U5
w0ntqMOuWv9zhWMcYvdhNE/JDwishDoRWFWEtSL5e9jE7mdVo3Fi7Zgixjfco5PLCtmXcWLqsp2V
Bltn3lcuQGlyaTcTF6yj7XU373a5AXmnGcrTlH6vA96tWr3jtHnspf6tEktKW4ACzbHmNurJDbHr
D1neuf4IehTjRWgQqW4lKixTEULxVJ55NvL8kpTL0bK6nT6bACCqK5C/5YblJLoSbuK2vUMCW4SC
8E8ma5Gb6+eSQnBq85x0m+anA8VzUwv7Vc+1Pb+mCBVv1ARA6Jn/2D3Z8/a86STCXLcjprS/tTJ5
liyrjdj6KDz3PDV8r7RwDrsK82nK5sdGYwFQQW61WbKA2SLa2CXvyh35qkxlzgmOl1DgnoedlZ1E
r5g5/01hhy/j1ybk66XQmeczgGMK5/5R4VWMej9ljRYQ71c9dvCwoCv2Z7JVD6lyI2zNAjiTeyWL
el+2d0417TEnXMuKZIUZ8EJY9WMdxpyiblYeCk3fZYPadfgtwiG2zgQl7qbJubABRKib91thZdei
vtYHe9+19bUx71jfRDXupTZbvjllekARBeM3OEl+he2cfdqggZzilehnTEHOBhnfLsmLXWKkmw7L
kFDWljEdO2ZvC+McsJl2YPhw7pxuN1r2eWYS79rJ7TTT+0zVvkrlQw6Gk0dyvwBZN767EKvzZbgS
7nICD4LYs0lE6K1Mv4CnsiCrgRCcG7++BW6wRy8WOpX/XgE6K0tU3YoMpwHUFGqt5QZaXuT78dvc
OrsGmXPFFwwHPUPUYMxXHBfPppmANH8wO4hYBNJDlX2op+9L7kzXLfAZ+jjDexWxRVRzWr5o3I1p
a+zdnEdEufbOcIODsLofOsqVcKzmu2QeYtiyjbMNpDVcC0U8u7t8/+t67o9r76+nBMe3BVrBZPfz
1cj9rlFbGt0vOgUVwW2Kn4k2PKPd3ced8V10KeHv3ZXhdZCritMyjHfcveB5plOWwRwuerGTwrsh
LiTfwhWHVR7cIRPk7JL3vR/UcHeKc06CT+vUf/N0Iyr7w9PNmNHDFMkBzo+wlqS/npx9i4FhNBCU
CeaFYW5aVzFa2sVpNtMA3LornTAuUx/f6gjzzj0QC12FwhjeTG83MTEWKemunrY4IaudZa1xeGYT
M2rM7OANtBKmW6LrRKIWj3urnM5ZPlxazXhcLBIyOvNH4kyXijk6ci+5bVJgpXEGiLtzZRNNxKmx
ZzA/9SEdVteddmOxGeRhbCWKF3WfjuNZQeZv3ZgYa7e+TYl+25Fz9R2CsIGdZHygyLwbSxtSkNMi
7c3TyLHaByW1T9x45cbP3E9XKy+9m7+gwNx3Y1/iLvpsy2yfTmy+a76DRBw7dIB4wjcydZ7A5u/p
wbBAd+8KwPOcMVmuVIRRO9HVRh/ZvRbOc00Ok8rYyMZTRJF9i4Hz3Etuj1Y3GZeDtzbqIkyH4Tnv
5KNAW+PW9stSiMckm+4GswZnCIpu0SQhRWCcsIOiqL0QuXvQk4W6Lf+I9fZCBOPVYFpblwiZDkCT
m/tnTDtHItLPymZnXPqXyjDHcKhcFntBFBhM2hKHyFh9x6/+RjfKSDEHd6fsGd3VYfSGSAIEc2bQ
2jcyXqJ+dnYyIAPFI4EPG9RyiV1rAz4c88Z10BbHvI6fOz7CPbvZbJPHrLLrau8XS5QqVL6dJT+L
lAxs6Z6BX29Fl7+KagEV2efMkU0AJItlC+xInnzOK+9bk1gI44UgBVgpUmTGM7nbH6IkZFEzPzO/
OsZa8GyTdhlrzQ+i03ftsNRh08Q36En4P8bmLEVxMNkt5k17gad0XyT5tW3OarvELp4RZ95opcH/
L7eIoWlb1TZO+pqb6YV0rgNpuIdqdbDincBvJatHK61fkt65mTrrqQSyy+byxVnEw1QN+GDy4Shi
73Mxret4SN1I9YMblkZyPU+uF4IAn7dd4pd4SZYbQptCyuY7vBwdjmT9zYYWHrGyvm+s+Q31OsvS
Qb7opZWuWS0NW+/53NnycVz8q9EDsGbpWaQVR+CiT65nECSNCtdM8wejdxEVDdf6NKHhW4idq8st
guqDpqbtpOvnilyawomfKqlCv8OhYAf37qDdJsXrgnerAX8XxOmpH7NvVrXgvnKe7Lz9XDLgiHxi
0xRcptl6NgV6C7nAQRf3xBaNhf/JEPP7xGI+MaedMQQfuQ26qfLGTeI49yC0WIIjNYhs7dT5p9Y4
OdZdPdznY3buwIMPVhu61v04m8jW/EfMfKuFdNNgoa1dFonttDXzn0U27yHrgSZ/8YIH5aRhNtmh
VX4GGQRa83VILl5S7V38F779DQJ1mPTqvhlMHhcNBOH9RAwT9pobPS5Db0Y0xh2VufaRyTwmn6jI
ijAg+gLGlKE+AgdJhWe9yAGv48x7XZgvfnCuJoVM75uegH7krHwWmFI2Q+Zsk+xdYSOqhs8ph2TX
Bu8TTM5dMPbvWusegHYeisz4MaocWn+QwoYlumxmIomJRG3NWYQyaPxjntLkaWOAMCSpnthFJ9Fk
zvYPrTON0NfY6Vuev1PNcu109UOaCG+75MZDUGivzTw/N8XygDnkvMTSY7DQraZxyz4mskAlUfpE
fbmspkdVf2DH2/uLBxAOZHWVAWr3KaeSdLpoNnzzjnxxxjprDuSbZJE9GMhFVWxsBlmHi+u9V+N4
Faj0pz8PD0HdthsBgy7P52TbkJEdBnFFcJ6n47+g189H+UCONaVdhafTvmla67PQy01u7CE1XdmM
WYymuy0U1k3Dvk2Fc5pnufctYeKdZmDV2XPKztLRtkoExKE7HRtEO5BRWWhz+N/SJTZLuOtB1DrB
uTBz7ND+8JDp1Uu3zv6rJiW1GvCflRpXfDYZ5pt5Ba3HMwR48hO8ehhCHfo6kiX38n+rH/3/sNM0
IFEbX2Xuf95e/o9uqN8+0rfyP87d24+fffr7PvJ/f4F/QoO839aeFWGZBb2PuFHG+P+EBhm/QZwg
8smhtoad4fyLGWQGv1GPEMyFvGutpkzmqf9kBpnuby4N48qxwnKBTNv8r3Cv6Ud/rYBQu5HQjALE
tiB5OVT5v1ZAgiZizhh/HrssS/LDsPTFndc7g9xaMed2OE1DmR+qsubl8NoulWHm1wOxI15qHlFg
5BFJFt1xSWvHvTV0WAzhOGX8E/dC9koiIWjfxIfVEHEgJVdL44JUcDpTj1COWMmpcZwqo+Ga21e3
1FMCDYyMpGHmxgkbWzDDfgTsyHvqFcM7Q3rQWv12jPRZmRiqfPu9XeaCN41lF0V0U8tyW5uJv2wW
FahvgTHk2WFq2IZvzGlt7cRE3luHAQmP64il/2yZApCp3bZABmbHSG5rYrq+sVFo47AQo0eNmqvW
2QhNgLu2yDf7TDO9WRDm+8yUbFuz7+s0tiGfxFXyIiCF4F7w4/nDcjV5bnMiRfH21QN9eAuU1+rs
8S3N++no+OQtgS1ws1ccBv2Bep8RsWp0HUUaXaKqTPdoGJw3BGjbbohN0nRDC1v8g3TN+QWhoi/D
ejFjiVa5IcPJp+ZkJ96R/GHPOdkmbe9Zt8QUqVs1Ldq1VZWY3xY7W05WVg3GxWQaCgHWnkWyg1lp
Bc+jrMVxFlDMozKAWkvyUGKK/TwZWlOGZUJG31H0vaPfkd+j2iISi0UAbI7j3n/oARGsk290xDGs
ohdUtoCF5nH9sFKSQFLu6rpVEV/GvrYCWxz8wqdJMcBVJNw26Wjc0bujcdY8MMmMNciqiWvg0IM+
3ctM/8xnMUd1gWFHMVEDr44OCbWCSf1tmDSAPfnIc7ycGAKnYWVlDiZ7W+6ywpjxqWGFhornKtye
weBdkPAcFdU4DB0thiJM4FRk5/GFIX5yssrx2WwtdmguelueD6xjzg+jqo712B3VlNR7rdSrVUVo
bla3bGQhFblNTKu+cnls7iuGIkd3GotNbtl8dICh95VdrTij9mpwkbUnmr0hNbIIl9i/ZRUG6dGG
TliPFRm4KdB5k7CTHzY1+d636+o5k059Gi3yq4ZxxXUEDeC5gN7AGfvkrvBbLwIR3dx7ZGacUOyi
BC+cJVrQcq7WJT1+TMrpUpBsFTKKSY7zQFCh8LzuqnVTxOwBMZHeZGkhkRuQl3LrIhqDVrpOIFMl
ZrxziYmJ7FoVIc4dIxyJBssMOdwKlMgCxzQ7/Xx2hocybc9cvngo9IX+FpIBtXkq7+KU+CpnmSVT
cbxDDolYDfEhI7leyTzes14mwN0jt6xufw5Ddi5Q8odODAihlJJaKO+9Oyl5yxJfwxLGn6CiLuoX
dEMth5H1YI88/zMEPqeKf5QGlOihDs7MdPWfXZ7xpDct3ZI3IJ9xJXgWoN5dMX16tbwmbEzfCKXx
m2+taqNVpI5hQU3CpRwkQnoHrJkF1565jbcj9b2/yVPNAz9SlRtWytNGefQH5ewsLxrf946gZOp/
9MB7y8rVLYE3eI99TV1wsl5cGedXpVN5uP/LkT1k50W+PdlRYU31t67P+sgg6IJSrFpOOGQGGzb2
xMyFaVFYIAkaaHTAGjOMqZPtTGDySGi0OT9luWzC2YrVKQiKNnILr4iC1HE+pOg+W2FZW33wxdXk
xtYuNVQQsT7ONoDJq7MDVpsuszevJjyI701b1zudLSk/PFj5sy31BBsozGKeBE5CiWkkcmbhP6vA
TH60xYjp9a/HCu6XXPT3igI6c9SwLIBRG68Lqj8oYpqmE2me6unRN/tREgil6OJk1sx3PTSDR9VI
mzOuwcOuLOJcQ4LP6odaaDN7+tL4MSTQL2/Q8xgG4VMOankTmCwYDn772MQNrimlK5q91ItZ1SIl
roCBE4x5dIbKV3cTMDsYz8WinnrXKu5neBdWiZDIHZ1rBlL+7bIMxTn1GSXaoo17TN2WBT/dlFS9
lrmuAFL3uegZ3Ix1MWMe8yBjhUAifQgDHob4IC76o1LevB8436+XRJt2ZQroYLHG6YDGO7iiUqNd
MdkiWCWsEhbZ8inItXbrAsiGB4dki6UJvFhJHYLc2cl33sS9RZdGZ45pbs0xW+aD73Zag3HFYPG5
xy4JIXQC8nLo9Nmpbjw786Ogc5MQbaf2Ey/RfNX3pn0koUcstEq6dk8STBtNjXTuqrm3zr2VJhfY
YtFCROkuy4AqG/Wywphyg/4uqJyNj5v5DjMm8wCttbaj5QsY5QSUpbLumRcgzW31VO4s8j9Tx683
PSyifL4eA/nWSGM/pHjhTdRfpzZ/H0f2tZrh3zQGmzQHSc0W7WN/TyIihJKGD456Y1MPOg4eNFza
AcB89sZiCLcwyQbh4I1XUqvvTTVkpzSuGODplnsemVJ4yICOXCsFage3fOq8tolDqO/iuHgDW665
7cevjJkQ03r9ks9I2nWzfZ9U6jBntCFjLMCeDJ7NO+EJ48KI4cNDFH/fpLx5+CWGUy+dPtlRY/cM
3FkNLkd/MGxiRMYkqH+Us92+oDxCjeEXXgDN1R6dU7u0o8mh7DjTc7BMBungld6+zThCXmXMPu/i
EONU8/15Yt64COheDStJT34rrVOW1u67ymNvhUmgW0tIMnhnqdhjqHZHtakN6ewDDcC1l9KqmlXu
XixLkx8WOv+QQK3qYtbTkEYEui17h5gNsqkG55bRZ3c7NEMwogquk+/MO5N73Zb2bZlz3gihuOcH
lWxdm9QN19X8B8FOPbQzi7BfeB4e18mUGAeli/IqU/D6+W2CYw37UivuVS2U2iCotLJI74qM0Wm5
urBsCo4+4rBrScydpnZLYJSLR69bBrFBoZucKpkEfJxmzrXvYZhGqyzu5yavnlfl0s+hcYcDpZek
nbdIgbZakZMtgqaQF2GoD+0cLJx+PliXSKEOf3Id6ADFXFinxq7G+yQPgpehZ0ebVWSYiS5O7heN
Po6JRFdf+DaKB2NZ+O2KjKtpsUv9yvXVeJ0Km5EikVLeTVqUY73pAuFEECL7yOzM1xkmx1XqGfj0
9bnIX0uZeS9zrD7HdtBIfTTG8WDo9c4kn5ATy8kd0vbm6TsuoC4lfwQDDkhjv3qDojReDLIZX+LJ
I+nCrMa4pe8zfRZBoFIOaBCs78zY9C2XkvZKhkx+nxlx8Nb2Ynow7FUkgbyrQCxm9tQltQEBPNfH
MkLtRGqT0RTDLrMW92Nw7fzQaoNEKYEya4qcoaCFJFktUcRLyvm77nfaCS8X1Jk6zq0gJPS+uNbs
XNzag6e2OvEhP/Sqw+Guy95/ZjfM+DMPTM26bgozodMw9eTFHNRMikI7ZdWm1Tr2TZLL4hWlQnVx
lF8cVQzkxE5wx0F8sJFb2HENAjGgEgsVg4QrDj2op/pMYPC2iQVJZ86kzO8M+ebiMNkqfZ/zhvVs
RezVbZszmBNmzPSkLLx+ufapsXWjLdZZFsfLDn+D94PFqXETZ+5wleZmV+xRQC5PAEpMYiylgesw
mbTHmgRlVjy1/95MhrzAjkHOsj6SNE8F4cVdkPASVtDjeeUFz8imQwVxA5oBiDJULPqfqVIkusmk
Khnp2MlZOsHyIPVMu5vzicPe09cItmkptU/JAgpwSWWSbNr3unNaggy5CPLZ8VaAVCF/zLLeEbTM
0GByU/wkv6I4GoKA6k2DpPmlntBI7QrckMBHbfvTzEYi+5CFiKiSGUg3kXlTFBPdMIYscMSTga9O
bbR6qiIsC4wEuURVFBQ+owqmKhOq0nSR132XB3fIYoJ7Pp/6pKRB1en23WsllBH5MRl8W5SfZkug
imhfK9lIorF9OXRkgmdOZCRqOna2pvZWxQmwzR0W9ZscWwTLtXZq7my7ze4GQsUOQrN6P1R2Yh26
GnI6I9tyBICVF9LcpJmNAqHuZPAEnoTAJKfxHg32Lu/0MVZDqm1m26GoZ3fmUci6UzdPM5IOCe1j
7tQLi4/LqEnxUI2COJ8Bl8kdDEG9OY/FlB7GxXTegEx5/NFcylPGKPAoHAXlejL7l0FY/eeU6H61
1VTjXxodPshi58nTrEpuomL00iP5Dyl+Tc9PrxMwKMWOQpjpZIODdje0Wn1M0TIgTrNSogpd82qu
LdkRZFnqOfBvkPlh0vnqRFRRd+f5GOjZcS73blZNBLfa/dFzR/8Vxux06Si3pq0B6OpIq+QmO2Oy
yiNu76pjHTNX22Xg6dyYrJy8O2Gg9NvqTE42iz/Oe52l2ts4190R9l1z0gnNDlXgzQAtOpvFAN0S
FViKDCYJA6FNZ60j6SkrHfXhWYn8kbQlQ6sh96uOJf24VqycE2+0s4zpaeG9De5xsR1rzWQA4SiP
siifnxKVM7LmIw4yoDttTi9N1DoRFmNB+St4sedNMi7WVvN8cWRlJx9sp8wNJmgTGioGymQ5JXDj
QswG4tbX7GmPXHQllQ3TS9tYcXFXaZXLM9yt52ab6bO15Ty3AAQijjwT+UAVMNIJZ/tJ2DP1BQmN
EBapirBcmE2ET1jxMJdspVshk4+lW6zr3ic/NgJosLB9r5Ji3fz4UGlyki9DS5FUc6XKUUuO4FW7
NIJSNH9vA8o2fcirx0kE4qdTKP+oa0H97DhF+kSy3TCHo6mrvdI149gYSHdc9uTHuU59dib18FkY
aqYjxqDH+r+qy2kjen8k4ZxETTmxS+dKElvUbPRxOs1YZXq0+QnDFKxInvNh48peCTKt87AE7Ehq
kyYyCdwrDwX9bi6RLAKfXC7jNOunkunM1tSKhrlnPxHaxQz4vneD+KNZ2ANlTicupT7N3Nl9P+yG
Rmr0i9LK7heGUkiy0/LZDrTxVJIu9dC0Xo3zaAG4wWet32UeXi5mrPFtX+rO1cgL/zBLSv9OK+dD
4k3glrOJWF/fq+8cs3MeeOyphHP7ykA/dZyMWL4kcrSvK9dYrtmN4VV0rOGID5zZqLTqvVmIsPec
CzV59w2DsLgG6YfTZLCaQ+Fm7qvOb+49ttaow1F3dmNmd9t4MYqbdqhZbHnzhjGVHeKYrRKkEMwZ
+thMPn07fYyxlx1s8lqrrrTwcwVq09BnRrPldDdQ716DERImWa5qH6RBFyFOhA/n4mxBoPUccGAh
ZGrV0emzD8NDg8a0AmByl7ch7mrqAXO4MklVPBBoUl7Hfk6KU52uUcpT+R3faX272KIMA4sWgduh
P2CVkAfUwsTcSFKH+Hn6nZfZLMqBTzdcnn/dxv1Jf892FTs08hjULqDZ3XUL+7vtsMbxWysOkqM5
ZiZl51ql+VaTnFpV22rj8AjNGzTvRtiyCWGjPnhH4NDx37JV/iSpZt1LuC7IAXf1E1l/3Pd2Qwy6
iCylI7oVYl17+Y4IS0GhHe2gv/P92nDPhQ6YLQK5qVjINPR/sA0lQuCR9zu1xyc1mQ5zstnskl1F
TjGL1tSpxJvr4D3d2r3mPAt4T2fk23zyrlW++IKMHetrIFep0Xj3iMsmN52u8ZnxB4lHUloXc1Ta
R5fGFN6Dnzx6OrG0UDUTMrIza8WujPZtoGcMBUD7PftdwoOSpdM3Is1yeKFAJqJ50YtrIHfd1pob
i0LCSu4UgKeNxBhz73nVfI2L1bodyoTrsHbKnTWVL6bV6N+kmVx5yvA35jq09NbxZfs1yYRBwAmp
4SxOI0auzn37NfZMvkagHvqPz/ZrMGrawvuBq9s/T07R3S/JYjxjWRMiFCBPGX+tBfsknQGSdeJn
ZAOV0yM7aJ7T8qu6N74q/eCr6ifajA5gzSf+IMucsxOt5V3+1ScYsrEOMSb0UELlMTEtre0E0yT3
DbF8GTpF4B+12HxEijcc24mwauKInKhYUNZoedCsynh6FlTvtC/+2slUa08Dzo1/Xfscgi1kGvkL
93PezFAiDUVHtPZG/tolpcSWbLu2cvam6JhRrhPRDaeJ9o6UgCZrWvstAoLc92Dtwcy1GyMHvX0V
8BDnDbMc2rU2SM3l4jp98eqYZftGWpRO1ivk24nMEMGH5DSlc5IL/eVeEb7GVi4Q7UsXt279QyMZ
OYtSZ0g+0XQ04vzX76v5JwAA4xbw/YBoTPYThm/+QVBGPHk+Qkccjhm11m2rTQmY1Exs+84qjnWl
+0d2t5XaxEMTR1PX3Pklu+d0aqAjaa6CtSQTwTRt0ZItE4CaLPOqUPd0PU29tZmTviCObscwySxx
sRVAwdYkOyyZMwX/abrD0nanoHIBrVPGeGP4lZQsFKb4A4ehtQMO75KSLopvML0nRvouiYeucWmt
FNNcfAaGDgYsTtDXWPHO0JML77h1gkd1S2MGCEyz9ZETTydRh3ndwJUtfPeQZgKpj3QpULk79MPY
euXZXZVe0AFwjTW2kzxgcqr3CYBXArUH7SvWXTF7g7584nARZ7/rQX9SyUgy/1oYppyrwRg5U1lc
LUKvxIZNIsoy0mfqH97QYxAo/IFC0pFnk2Xp05IospBJul5dLOU2gINUQQXz4teUrQIZu6SPbFTV
dLtYFuk+AwjH2ja2PXYWuSSIcl7D1B1eOdtVLj9fB0VvrvLxRxUTQ70pCYLc0wnX2Xbqg3m1FGJn
C71hDA6u3sXf4jFI3ysIs3uJnCGK41q7n5iMMClA6TFlznhV5mjwTT0zTowWF55Kis4yD6Zr7Jja
9wDqeMSXkyiR/fq+yHLfZM7bikd9jnkDABqFI2mQZCy1Y7pzyW4Hv+KMuxmmyetoGtmDlvbmE2Ha
9QHSk55umlFwNE0q/7agIdl2WKeuHU6p/0neme22kaRt+lYKfTBHk0Lknokf/R9wp0hK1ObtJEFL
cu77nlc/T1KSLbnsblexZ8aDIQoF2JaSuUXEF+/3LlON5uWcUEeatS5WmSYp0HeJKLFeCD0bfTVG
Rtq5D3UzYhNjOFvMOMTSMD3BuLYDdZvF6Q3RzhipRgAUxnElQkakXRlS4e7aoYtgIhUCDlWAOZO1
T0KnVifZ2ESSj/0kuYIpNHWOfSYxtpwKUN0B9vTYiXLKiK6U7fcBVr6J8lk+dq0gdMyVYyerRFSx
gOpsvouOna6E7DdyUf12NAtk9k5mzG7ZRxd0z1+pmiG7F1hgyWI+rmMPWt12BbtvxaJ3PnbbgpE6
PcmKjv+zM1CNHf7oxbqI8FhvW11e50peUVfnGpvr2h6AmnBBDoNVYBklTGsADH1W+HK6UWuVeiI/
YrrdCO+GuvwhtzJEpJV7iyX1BwKxGCAKnJeO8OjcGdCKN7a5yOS0Hs8aQ1E6pZvOo0VUSqm+ysK+
PPzriYoG6Ru9GaRECgsmKY3sFSRSY2/zVV0hQOZDIFFzbbvYFNqXeVhss+bq+CV/iU39a1nOt2nM
f0e69Ff69BNh+usffw82NTcePvNYHP28x30BcXrMw/mutf38e8+tbR1eNLWUqQkT7YlufOVF2+qZ
qqLRRzQvyIFBtvCtt20QA03fm9AyRRN4u4Dpv/S29TMZmjdeRwrGWBzS/Cu9bWWM43n7fmAmTzgg
pl/kH9Ap/663jVGyIhrKLihqBGEm5sE1fXviQxG98LTe2fpRrWODFZNUFRozHdfWZS666NBpurkL
LAhtXWktAx2/D+rvPUMKekRi3blIyolJsc3R2hlrhB7OYBtqzVXD4Kf4V+ndZjWsOg+dd2AXxcry
tI+Um1OlNHZ9CcJk6Szg2Epi3ORc1Sj1DfoZcxHCHlUD567zHGvBFh+eTqxvY7U3Dib5xMsmtOdl
Shc4tOxhF8VDPK1aKIkR+hZQd8ROktUu2rIhADogklmzaGDR1lRnOTmaoE/maMApUei3V7mnrXiC
D61iTtos3tIPnvelcu3H+iYtMndKO2SKa+UXXfa7c8lzyBssQmtYKl5x43NvL4khTHGglrIlc8Bd
J7yJIbXbWudm2lWmboOeS/bV8EJL8JSTgESTLN+pel1OLZHGS7+r7iG1DhfOu9LGyarM8TYnGQjW
rQdtUqoAYPsZkPM8ov+Vx1o+la3kS6Uh/bQNNF6qPOssA5/R4Da33bWXxcqsMAGeG2wacBOg9huC
ldTXV5KiN6h7yu6u9gd9rZoxWV9KN/PDlK07LYvOzN1VnLreDdqka09tPjt6b4KdahEM5d5CCx5r
lzq7rknEujzpHTrCqLsIa6kQj6AO0dcKXZZbNU6v1TDXIK+pWj0LYq+/EZEzANGWVbZE9uVedgbR
3Pod1rq44AVGsm8LSZri4bVzhXbpBcTzhsZ7N+pZVTNWzLrTlkFbbN2iXEsYXovBfd+6GMYCr0NM
83lU5QVs5y9hckOxTXQzvbSVbmbRtCf2gCbfXOuaqUCZAmFclaZOR2BCpuQXfSOg3lLBEA8ysSwL
cVq/7kpx58TvKEw7sgFQVXbG+N3BOhcSnNhM3OGr7E+tvtFpK9OeWSReUk7pacnLnP5aossHDexu
M8j2F+qCnRoOE03EpMTme7Wy6IUFMyDe62Lw5I8N4J/AvM2fa4Sg3NgG9gQOTuQTpTf1qYpS7BLo
Ut8DG9LIt2nqJigR2Z7k9QYzcL+aQtA09lGuZueqU/abQCusA4iDh04rcTd481rrRC7qNRE40ftA
xZyVvlTpbz2FgG8vcItVbxbubWmyReFVLdfsiPqPlHS4qOVtuvcMtVlD7Y0+hb1jgtohFIxEGE6p
4YyNZ6T2BlWPAfm6bReVLAOgSkO3ixstvh0qv7u1srg+D4DC7+IC+DVv2DtOiswuDhCLzVkuew3G
wLa+s3Ut24aN1V7RuFYvdBneeSUK+aMcRDVtGHpc2EEbGxru4brwbP1yKFLvUdW6GqNOMoEe0G7F
Le1A7jqFrb8LMrvd6k5UbSLHkmUqqUbsLasT163a5KgPFHkbh6l3RxiBvcttIAleFXOrSq3Yxlpa
lRQUiMqwkzWXJKRHFzYXCCkbZVAQeSL5N2J9VYyz8reer6VZWAdpkMmZuA2yD74X/YZhZaZqOQCH
uW50kWlF2qyDsikviFlOZrWDn18mw4vtFbphhEaSNE1bgwobSEWr6jujKaVFpPYUOmYwNqpLOcWu
1RcL0hrKKYC5S+usxr4K1yl9byQi2FQivjAdAyV1bg/7zJCTCdkp0a532W/zJt3pQIjgmuRzY7kV
TxGI6ROv12+LwvMmdd3Gl0btYirRQre/zdpWkYjx6umbluaQw2FPODBm0+TITA36DkgOUSZPS99p
uqWIsdafN+B+H2mC5f4sb9x0rg9ycod3sfURC7LzMqpID1Cs69qUMG6ukmmvGrOMHMNpXpnJzBcR
arWYjDGV9M4+hjdR1+p11lVbLytunMK0EM2KCnKWDtHF7+D1OD6RIHA+VVyGUTgGPfnL8aYctGbj
FOnW9Bn+vg/5GXYJUj3iqoO66CFzx+kkbw333mv0lnZbqy0kcGk8/Qz9IqXWZY6Ro4XphcF1NkC5
zWo3vqiH1hwpUrxKg8lbNcDL30KsMrd9jT4DQy97V+vCu/OEq2xd38gv0ASI61Q2xN4Lsc6YYv5S
bXjW3Rag2t+1AmQMtIn33cLC44GI6QY+rKl6j0i+k2lXON2iGEdKP44Zaxw9yjiO6nFERaVF98bp
1IuQFsZVlvv5VhMJ67NXNiBTLJXYapXI5eNRwWFrtE3GEWyPY5kka7ILzDC5RTDY7eD9ueusUdsF
5ExjgQrU3vRDa2wyLQ2nTZ6M70Fu3YBPRp/8cTYZxnllGGcYbZxr9HHWqcb5ZxhnIn+ck2wpE+vQ
knGjcQ2mrA5F8fvCGsg2DuPR46F1N1FVE/xdGdYhiJR+kzlSdi4ARPZeTJjU6LVVbyhAjHuDnsKy
C4xq0WS+seenpcs6d42pnOKg4vs4d0z7uq8TzC0LcivKwaZCCVHElQvLDsHdEZ4FLZtmrK5mZKwY
8VSGpt7jYuHFzUViBtZU6LmOINS0y2Gm2J1ur2CYQHRJhtLN3qOUK4hW18OsQsWihtUqdYvG3cJ/
hzidliCqMMWtpobElBDAUOQ+XknClTA4sDwPYq3dd7lLIIU+sF6z8RSwErBEZhgEKYbBlXqpSo2y
s9xOv+okU15EtkrgdqDJ1yUJ4iHUOCcWS1JbomhOZjybWCdIbQgemfN5VOK3M8sGfpkU5uBJ8zqO
qIAaGgnR1GTa/DBEOB5PoTrKzC19ENi8YnIu48ZYKdchO6ucSIor0+lhHwZBOxdln8EFSVYlHpns
zKu7qtkaAyYrriN2pmVnOw3r/4mCBh0EG747fg3OVJg1O34H6IlknW4WI2WYqJqJM1gTfELS2y76
oL2XEzWfWoUKLa1X9g49mQticpQpnbXPvvkZSpB93ivkmBhmr8zI+Wi3aop/c2CKpemlVxC4roPU
tGddZO1lB88kLzaNqRuDt9W5Zm4qozNW4Dq4pfnoYizpmuYva54vq1uJ9X8uhuw+KlNpfEa04vqM
EBKv3bOc3w1y5n/Raa2uy3poJm0EXxsUuJ10UHbeyZboZ4Gc91/sFJrnFHvwTJ2WRSUCzCp8033i
Ef2lLdyPN2evla7//Wu7vOVjOmaIlv/v7PMQnv58n7d7dCEyH/rDDzZ6/OLzRk8hqZS9mgFTmR3d
0WvyicNs2WeWrOP5QhF1VMDyO0laVN4//wFTmRw26MWYoRrAsDbb928bvdEcEDcvXKBJ4bT/2kZP
/d7ViKViBAJIZrVgiZna93il41VwaU1jVdiF5q6UPATzwsupKyYy4oiHLoyic97nLlvrqlHfaHJv
uXOjlYNhAZ1KvcsDdolJZRA1k0GG6yaxL+FIobdVly9jyVPv7BImLbHOghahBFan6igzpiYGYjX5
Vlpgr8qU7Kal6K082woppceATd1U113PpcsNbFLqpIDiIBYhgKhl6RZycr6xarP+gKEXAllEUXNZ
kGueJ9a1wPMMupRAB0BiCly+HFlM2RTIgPIM2FktgRK5WHcrAlIrqE3kYat7ZUYskUZNgl4bn5Eh
ildmXcSXueIrK0e3iKTRB3XV+z10YQ0nzETq0XnFUW9ctZ5q31optoWtHLa7jCCwadDHzURF+Ee/
KSYRubZpXHjGVGk0JSN802rrayftMnOSl+m1zJplTdvM78lnwupLbBVmIPe8TdrmKm8iOutukmru
NveroF06VtNgKNtGLghmknfurJSdkdcjkfQ3gbdTNeg4e6CpqIH3dTXIcBQvERIZyZUMHw1upsid
YhUGUuGw+7PkYV2LCjTYaVp71H06cjOvazozC5WQxw8ECOX6FW3nSlnIZP2Rjuch3mf7pIT9RB3K
pl44RtkszUp4DyLNXBMlS2wvk6KW3+mYhhZ4NLjuaPz2xQbvrKU23yuJpWzTos8opYRE4J/VfKCN
2E1g3O7xHTEmrCwVPI4uZitUtLO4z/0rKi8qUkFARoqBG16qOt3cUkvKBzVuzFWqSJ6/9JvBl2dR
isoW6p11yxpMAlBvpkY/i/3KuiEwpN+Sk4ZzCcjszC+r6KYiIQhJETwQmnneEsOT9FyYCcSD0nbn
wrfOKePGbpE83DowIRZNnurnAN3qxEO8DNVDXLpIocK0LG96jRwgTzbKS8mVHbIbWjcGbWS7ATeS
sBgixtEk58D77jKV2mgLrmNBTgUD6eMo3ha5JkMXDjT/lre13qRgRTjjKSkrPBlGwbp3Ub2QnVfP
ACAQjRHPvYYXE17altN8rHi2DkHmjlxOIVT0LlSBrsOSUmpB7YuxfRubqKX9+Crv02UKRWCe22J4
B+DtP+iKhFjYMpHA1W7JslcH3PegRy8LUc60K9iN0lDvsqp/TOs6i1EUK/Hc6pwKrXKAlrIwpfAD
ML5x06Y9NGYZedKnrIfjMxcx0qmxcQ8+0NUzH7L43JCUeq43eb0QeZEjIDbbadHpwP2yGi6iLoCx
W7jRKrKlcwEgzQwTdzsEH/UHR5QEL5ZutHdtNT8vsyA5z3vPvnTV3DlobUN8619HNv//XRZHO62f
L4s/tYl4wk7HX35aGk3lDBsH/havJYTEr5bGozeEaliCVrOp4f8APPmyNOINoQJIWgiNsPwjlebb
0ijOVBh2iIJwQISvC+X5xVZj/7RLBkOmbMGQ4/nPr9OW7REC/7aZ5pyO1hBIcGh7k+l83Gy/gsiz
QsJyNpE17NX9L7VpXJiFvswM+zZwmK5EgMqjB8ZsJOcWwhJprMZHNiDL2v7ktXUE/cLdON7wLqyN
JZ7LCxnrg2CLyfB5Rf5yZ0ZUss2ObJZ3uQK1oXIX2aAvg6FYiWyaes5ci7KNXEyN2lrAVp4H+OVH
QbGCj7AODfXKKPQL3VCXba5daY6MY+dkDGDoXG/RZzauvfmNJWU3Q0fkB8ut5qXTEIp2VH0eopve
RW4QQ0ztjIWptTszs2B0xFs50y4SrXuXqbg6Vsme4TXPehKQY4MIrgoXG+d2IEZnZjnabWm4q6IN
LmNHownm2TGs32I1OEBigRtdVa65UrNydNBoPlWFfQur8UOgcctA6kjmM9a03+b0J+9pTFL/x1uN
GejVm/eDh/h9O/bpIY4tWQgLuGNaI8796iH2CMVLT0gagSD5DIrg0XXVbfNLve8vzQIBo+eF03Aw
5xIOCA1P5l+fwFG+/+YtApUX2O0C8YP1Y+X/9gTALigLFFLcibqiAYXZQV0sOsGusOl1euuecqk5
obGsnWEf5MO7JvHVrS7r0jo2wHXNyWMPUW0xGIVBJp3qL0zZiedOOmy7qFhBm2VbgYx5LTAIiXHJ
p/UZxTPEruyBwgI7c+In5i0m8ETQGaPOWV85NqysDjQW6j4bllK572FSTZA5XdXCXw4lmBVj7z0K
yo1jdjsrqDcJJMvzNM/czV+fSH9t8/DTn/oNlZAm6T8YCgt6OMZoYaOOZffPZ8zt4eEQvlFC/vAA
T7OmxSzH7EdTHut6VdXHufHZUUc5QyIpmBhtCDpQEL5Omqp5JkzyMJDfsWMwjnrJ5/2EqtBuMnFA
EcycKrb0f2k/YenjfuHb+y4p44TNeDuOg1cDTYuqNJTDiuTI1owXlCNwcBHtufYUBBeWgmon0Mek
xFrWalGCAunmOXUuCqzGqIKLNsOtAP0IcoqZyZv9TpccaP+21b/LgtjWpjgDEs5akLgRTaC929c0
ZcorMxRah7VjbEEHNAfIuJPMdXF7zBrZmZc456WTcrQv+9xYjZStmzTVdqWiq+fwHNpD4/TJ58wL
cbosUKsv0zgBZyGsZWz2N6UhVm1vGJ8o1kijUFO765e9qASwQxQ1+ZoNPAZAVBpaMKszOcjP6Qb7
V5T0ujtlJs8pOuv4piZOBEO0usECDfLUR6UP433Xyb007RolbBB4AY9AUc89SMe6Jz7m5IKR4K5K
tApsQN3rLvEbfAMCtbkPdKk7t4MYgl7tutf6GEWTW75yo+hB/R4ISt+z64qvzZhZRao0e8VCMiwb
0SUwkA3T2TYsG7M+xSpOdQ3k8awu1qJhq4OGW6m9e1zgeY5SVHr2PFKMBi5I2A6bTDLULy2oK30S
d3ik087+xnGz/OOghNqlXfcsiV4Z4NsWQ869M7WRQFzXcbX3MpvdWBB0iLs7lrlJjWZtGUY+6FVA
xXqHR5/0DgDQI/y8NcUd6g48fG0j78O5j1Zwbxme8hk6Ub4sBnQwsoIIb9IJt9zjhYQUDclVbM7j
zLE3AfjYNkg8glFztUhWZpD7OKDFuV1MSG+tPsVaKBUzXavLRzd2ulu9ScHES62iy2ZVkjU1iTbf
pVlBfpObJlE0q2xNWYZkutqXul3D6q76IOkgymNaPekl0snhO8ClJCg7T7V5AP1WXaAwMR/xcHOw
fopyrOsoS7NhbmBCKE8lO0Y/gRY9+4TWwfuAIIZ0tBgq5mWM1LKB34FOiJsRxe1KT0zsPLixuDn5
Wowys27oVk5huiT04fTeu9ZBv2G1sSR/iEvV+eIHGSKkIlKcx9AxqpUV5LV8n0HAjCdeYchYqsQO
QWB8V0VkYqF6cLEjGhr4CyQOzi2RtfbatkSs4HUAflA1Z8KP+XOplNJWlvw0nDc1xY6WDkOwr7zG
YDffIQUK2j6+g8GrPUAQ8j92LtHjk8J2zGyGIwbJogL3wkBIoTbV5KRdZx6YGtsncFRy+QwDNmyS
R0CiaVjhcGi79aK3xxB2b+itR7spDGUWljb8dzPSad12lXkFy6RcN7Qv4G3HNT4EkV1+tgu9fB+g
gbvQumFY0Dut0lnsdcRZZIXdXEmSVr5vCx0HGr1NN8Mg53BZML3BPibIDGgkTkPuhl35qKO90Swb
KjBa7NQlhTZosvfA2+EmkUPdw9TKgHIV0IgAC3E7GLQOngU6byVuWaJNvYmn0/JrAtOYG2Xa3NsD
jils7moTa5h+qHZRGPXXhj14NBIdYrLnkd53SxwC9SWyFLEmchYDJYXH+LEgKfcBmYBrQIYRmK3g
oLqrTc/d2fiz0v3DvP26jTP/pmkkANGoMeS1aIm80UqnuPbR1VyWrmKgfW4TrBPTOvkwbkbnzdB6
i9JxUEnD0ccAgpSjRRC2OPUQV4pzSCWAuWmNB58Sv00vg6jQ5+WY5w6DqVvXTjE81OiDLOKVvFRG
aoPlBNSgnmdfhxlCWa11s48ZpAG49K7SnsMBVZH3dGaBbkFUdzwduPeid+VLmhPE8EZQ6s8lVCfl
pLVK1V6mFpamji+Bp4pSZf/rREH6OQKcuq20mpcwFzXp7NR4wSc51bIPOoRIG457gQhbqbVKXxBo
jeVNSl5YgiIGFc1SyUT2rgzkILxWrJTs1apXmXQoVPOZKiVC2XhBL1r4P6Qez02/GmkHGbIYEhZb
TDIKgagPc/Ws2LmD7/iTNrF7Ym1d4riL3Iw+d57rffGkIp1lpfBvXaXAggbvWpYbMwphSuBE503R
C5pzp5fpj7uJ6a80VHg04tO8O9eanH6x2jvRed02xjDVmyhGpZFWqAgChTQY2S3p3ltOt29Rq+Lx
2kvhskGau5bp2dHRqyNtCoVX7xaIWYOtWqB3nCpppbLjUD0Ux5dF3dEi99IyzSbw9Yctydbw0eI4
GYWXmgBfM+Lgs5mHyRxNwKbtYElN6AvxWylneJWlZvlejawWsSAVB7TECq+VMgR+R1aIWs6lQ3nO
sNHT9zFYCzm5VbkyDWyiShwiJ70cfYyswgZBH3ccIakjEy+xo3NPbaFjyEEBv9svHV1MmHYS5iHY
+IV8rVrdlSLTj4DuOjxErAYs1D7GIRiXbIgj6WjmOxZ+dmV1nTh180Vj8VkiqFDPVRuCSNEao2wj
Wg2tCghaleWd2ukqGnsdMTw9D6T5FjI4+ipOM03B1PY1hnCLMGpr+oGmlZ1DlMegpPdr6msZSbcK
WQYyix90W9oWFZ0oAnzsxgl3kc5EPg/Q6pH63LlpP4VrIkEoM2QERbiLy4SO93ZAeEgergcfdBCK
Z4S2uFW3aKqCDfokbYOzFew1P6vLDwi27FmpJ9Y9btZwZLGDyi+1OLKuYZyaq6Cq8BLWMseZKJ2k
PNi8MBDs5OQqD2xajmg/tXkc0v0UepXdiYRdQFvz+FM79z7E4DYjNQfzZ5yyXDGRzcC8SFDy3svI
6nGjsNt0ahRVNu7y9OlQ5dVtrpTlPTrFbG8AHu+SIoAH0oaBe1HqJVp7PDCWrX50b4sytaLmUsxP
8aDSScWesLsztLGnBcTjPjpe7rHHlCDF1JkZTyNEREj5skpmAQV6+thovTk3oTliP6M2ggnAcT+a
IoQl6foN8YgGzEp04Fg6BlXA5hannqVnZeYlezf13O7a8AvnW+yRbfSf7aGGijtkPVLTzoeyMWkK
q7q1+zbGZ6pEQjhTXR9aJgSb/spCNbQwe719N2gGe2ncqw62QnjwJCvB9eigOy3GZEWVICDIVXfJ
o2q3sourzoyGYHHlFypdsxTonDSoIWKmUtKuiqDYeIV/bgZSnS5rbCGcdUaTB06w3RnRAn2+fIGz
IqZ3ZtuQt1eKsF/4JHpCvMK1FkcCpbA2uDlCc0JKW1YY96CQQTwrBnVaK7lhT52+LT62lV8EMBcx
s536Q+TsfBhmNP0rgwaUjEfkFEO26gBDlEWtJRnnGrkV958WsEbOTRzUK6WLo3ea5uXXWR4hfSzY
D10HvWbPGrlxp5IizI1PHw+vilo8+nJuIbPTy0SZs+5i8mUqNZE5oVXoNz1tQw+PYUqCSVuUXjJ3
fdJ/ZrLEFmZPo6IBR210bWVGSppC9dHw2EQVaoFYs1SMhvIl5iM8BdeddjDWlwbhZNdRpGT5bLBb
a5ikdqR9CWLJhr8GMn5n61J/8C1JPFhWVNerlMx3jAKgBI2uhkGSTPI6J8EtCoJsHpWVBw0icr8o
bupfVwOmvr2dyf6CGhMRPW6S88FMi6sav2v4VHj5y0lpGYueqi2YETOv4CkAeG6JOsQcyiidg93m
yrVIKDHmVL22NC1iW4/mXWZ0IfU1+kRYaAM1GnxUe+DCJwOo80Jykm5emCrDRGNdnvFmw0LLA5Ee
VPjuCsEtbjR3Gto5/KnbpyKCD5VkaatMRFY4CA0L8uCcOPf2DtqhtRpaOGGIGAJtb5Qm5veNgrNX
obbQ+00O6d4FvsY5yYWavcta08Jz0naiL2nkw0dSIyBtqD3GLHLyeiYFuJmbNaGJRUEEb6UWFapd
FW6cI6gAJ71LELqbVNW8HgTvYuaH+kQXbnbwIqnYhAhjKfCRBK9IIba/9Bq94SXhkeAR4HES5IGG
oyAI19euiUiMpZ0QwyXwunNOM7e47yN79MCDyXbNyp25E1Xx7Q12jgn9fxEifiZoaCmksoZlgLW4
yRoydwuiIfDDQ5WXBOaw1si5n0h0led2ilCu7ssak/pKO8cTSHygDhg56HZC5oqvSgyaCCVn6wzO
xIYvhtDShSkehPV1quFjCaU+Qkzn0IaaJLnwr0xouHMZQQNGXpatb0SsUE7poTPHa+Ezdaq9FIzJ
eVpX5RwzJPcTfPPqc0/6ILoSxMcERSnhJ7dMzStEIyWcEy0OzttUipaDNJryuFV323XOvvcqiFAi
8q50v2BcKh2cNcfQu3Mrb9qVlkXuxjCykPtu+OeWF9l47pm+vkxDobzPiwEPNhQKxlihx9hfCOG7
E1PTgP3xJaSaRWr+WWeKWfmUpZAfuqDctUk0JsCqbI4LnGknioTFxsxVh2idkiLuT0Tsp7fwBq0F
JZyxR4Wn3WgE6SK2LKV9iofAvMXCvZ+4gdHc5lLmogmwFGVNCos1N7vGu2Xowe43yFmeWgTjMT26
KFnKukHoGCVQk/A/9eC2eXgVaIpRTHLL6vEiMkS40yUVTbvvofZXhg6v3iQILosod/uZLqDueQIx
FcZEfTlz6qC66ZXIv6ujutnbEhYFjF15L3uF/ZiXXrko7MDBYVbpMeWVWk1+r6DG3UVyGKz13Ah2
phBVBw8BLCOumK/8ulZgGllxsI6S2pvVSRzT1stxd7Olbq1kRjbDM6bbSBEXG5ocBM/BhF5m5abY
x0Zq/b5gqfP4tjxaIDHlmIIeFnZm1m3l1Wgb+jojxAqlp7HIwwCvDlXpdmkqQWYbKxcdDYCX3Mpo
gxcG/i/7VFO+mGwGsYNCU1fOkGlU217rTFBsrZg3YYgoIUL3/Q4JicezHPLUWtRNWj0gPuyn/5PN
eZQ5GH2sVMxsJlVUdN1MGAF0+QFLwMuBJaWeRXYgnqOR/9NEhf8NFITnU/yhc/fXhsP4r/vUT6rb
9E/23r/0Qy+dix8f6NeswGU6GZYC4/w7MPJ4Ykcz8n91nOiAZ3n98Ag9QT4jLgFZHBq144ceDKww
9/mfLQWPblkZaQ/HL3p1g352C/711f3ZIv3Px3lz5vfsWKsCa3WX4OI37IyREvkGiP3JtX93hFfX
Dl6q4wZGSg/0jPHz5tpNe+xBgabShDp+/m/dgsND7MNdLKvCv6/e3ALShH/tHnx3iG/3QNbhtOg6
Wb3i6Rb86R7Yhq7BKGBNGj9P9/z//Gvw3QU8Hk331w///MfLQAC8/pWX4bvjfLsRqjiTWegZDMRM
jx8O+Gog8DJA1SHVBV7u8QMiz/f9RjdihOtPvAdwlcihJrKK1+Hp8+Ye2MqZxVTAm/I8Xn6/l+Eo
6dHwrz7pXVCsM+y2VLaMxo8mRdM8k2W6KxbUrePnSUL0G70Lqq08TVZPLfKvC81fWRj0MwP2Oe1J
NOvj57uFgX+GaDZqm363gQALQZjwm099CZgQiGDU5LEr93omUM9kVPwQfZ9XTP7595oJiO9WjTHa
+6RBwMrA8qfwKv1wMjC1M6GDfhDM9jQIfrsJcbwNinryOFDODFAeiC0/LJBM3GsxjsRIQf9N5wJZ
JTb+xHcBJ16YrYwEHvLrocB6gXiRiE7raY747SZCqoPRcHhMPDhtMJhnXOLI0v1TWSAEMaUokp4e
/1MZ8hstBQoWyqdePUk9OiwITYOi8PR58xpY2pmGazLZYvbTa/DbTQUvReKp1bKiYjsNjQzb6a+P
+9V4sPQz3YAvogDnHD+/3dIAbiafWiXK2hnmWBp68x/PiMaZTOVA3fDbVolULU9P5u+XR7I401Bv
E6L3XXVgnGnCQvONHuv4+f3Ko5E0dOJ0yDjANkhm5/g88b8tDk3rTLFQthNy/DQOfruNwmjncuqi
KI/29AqG9uyIjp/vbgLjQJD+i3nM0+e3mxWp3sSpSwPbZovJH7UJL/qrqdDUR79/DeHLt5ny96qS
xyi7U6+eDTORvAh/5Oep8LuboHJz7NHL4Xkc/HavAEuV8XRSJ0yF8plggRVizKl//QpYTIXmqHB6
mm5+o6IIk5hRHXVSScizhxNKNcCV/2D4w+3kvRjxxd91GYR2Kp/67FkILB3GvyF+uBBY5pnNNlkV
xl+ohH7hPfkKs2NXGj0cUXj/sXyVwflvf+AFpf7zAZ7R5yO2CMT85gdv++zx6dBPAOT45/9+Ayke
EcFX//iCEB6/5/nXny/wz1/95rterurlL1f+Y3Eo7j0sWsbA0efTHEWY//wHkZ4eUZ8/ymE5QsTf
Tuif/3hzuq/GwL88flke4tfI8xPYeOphJ753KF4f9gm3OvWwq0PRH5LD6wM/b4JPPrIf/zzxBkkA
mMupX3F+iOP6j/9xiLP/+mNzKD0yl14OenwldVbUl78Y36e/90A3hyKhjRW+vUlPm4NTr2DDexp9
d+BjwX3qgbeHsPQOD+3jY/ZyB463ZKTBv/zF378lu8OD1/94DD1VzKee/uWDz+m/nOh45s9781MP
vK8f6nvvsSj6NwfHDEx++Yu/f1v2dRIcPr8c53jWT2XjqWd9fQgOUGwOb5p6z0XZqce+8QnYfjNh
qQIH3Zer+Pt34/YQ+9EfF4eH+uVY4x15rqJOPeu7qiKl+QeT+HO5curx3z+W1R+TxwRLszdn/1QH
nHr03YHJnAmrKt684887rVOPvqwDjl69Pu+v+O7Jx07fnPFX+PzU47Iqf43ZvvDv08883XU52smV
b68DN+BxK3Ly9/1iINuxfvj7Y2DnD2nxthw4tlwUmx31qddwW8ByffsGPR/8PzB6fxyI/nLSx7Xk
a+/o1Av5N86Bpz6DQzLep+9OfbQl/A/cpn9nhnHiuc8eI8//85mPXdtTb/qv6JVPPPspK9aD7x4K
7+V0n98bbv5/YhDjnHyoKr/80zd8I/ycepeO6wwqRS7kzTU8f8N/oJY6Zyn46fEB4U+9gttHZlH3
+xr/W6/n1OP/qorzxHfpx/PRH6wbf/z0TUbMDqBkYV0Kvgb+gOr+393PH+03v1JX/rwLfaFo/ejX
3m6xx5+4jx4PxX//LwAAAP//</cx:binary>
              </cx:geoCache>
            </cx:geography>
          </cx:layoutPr>
        </cx:series>
      </cx:plotAreaRegion>
    </cx:plotArea>
    <cx:legend pos="r" align="min" overlay="0"/>
  </cx:chart>
  <cx:spPr>
    <a:gradFill>
      <a:gsLst>
        <a:gs pos="0">
          <a:schemeClr val="tx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hyperlink" Target="#Sales!A1"/></Relationships>
</file>

<file path=xl/drawings/_rels/drawing2.xml.rels><?xml version="1.0" encoding="UTF-8" standalone="yes"?>
<Relationships xmlns="http://schemas.openxmlformats.org/package/2006/relationships"><Relationship Id="rId8" Type="http://schemas.openxmlformats.org/officeDocument/2006/relationships/image" Target="../media/image1.jpeg"/><Relationship Id="rId3" Type="http://schemas.openxmlformats.org/officeDocument/2006/relationships/chart" Target="../charts/chart3.xml"/><Relationship Id="rId7" Type="http://schemas.openxmlformats.org/officeDocument/2006/relationships/hyperlink" Target="#'Pivot Table'!A1"/><Relationship Id="rId12" Type="http://schemas.openxmlformats.org/officeDocument/2006/relationships/image" Target="../media/image5.jpeg"/><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image" Target="../media/image4.png"/><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12</xdr:col>
      <xdr:colOff>76200</xdr:colOff>
      <xdr:row>2</xdr:row>
      <xdr:rowOff>114300</xdr:rowOff>
    </xdr:from>
    <xdr:to>
      <xdr:col>14</xdr:col>
      <xdr:colOff>220980</xdr:colOff>
      <xdr:row>8</xdr:row>
      <xdr:rowOff>121920</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AD6E3A19-8148-41DB-85AB-01F6FBBFA960}"/>
            </a:ext>
          </a:extLst>
        </xdr:cNvPr>
        <xdr:cNvSpPr/>
      </xdr:nvSpPr>
      <xdr:spPr>
        <a:xfrm>
          <a:off x="10637520" y="480060"/>
          <a:ext cx="1363980" cy="1104900"/>
        </a:xfrm>
        <a:prstGeom prst="leftArrow">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tx1"/>
              </a:solidFill>
            </a:rPr>
            <a:t>click to see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296411</xdr:colOff>
      <xdr:row>4</xdr:row>
      <xdr:rowOff>47307</xdr:rowOff>
    </xdr:from>
    <xdr:to>
      <xdr:col>6</xdr:col>
      <xdr:colOff>276359</xdr:colOff>
      <xdr:row>9</xdr:row>
      <xdr:rowOff>107465</xdr:rowOff>
    </xdr:to>
    <xdr:sp macro="" textlink="'Pivot Table'!$J$4">
      <xdr:nvSpPr>
        <xdr:cNvPr id="2" name="Rectangle: Rounded Corners 1">
          <a:extLst>
            <a:ext uri="{FF2B5EF4-FFF2-40B4-BE49-F238E27FC236}">
              <a16:creationId xmlns:a16="http://schemas.microsoft.com/office/drawing/2014/main" id="{03D6C6B0-E5BC-4CAB-A4D0-79E28EE84957}"/>
            </a:ext>
          </a:extLst>
        </xdr:cNvPr>
        <xdr:cNvSpPr/>
      </xdr:nvSpPr>
      <xdr:spPr>
        <a:xfrm>
          <a:off x="1519904" y="777110"/>
          <a:ext cx="2426934" cy="972411"/>
        </a:xfrm>
        <a:prstGeom prst="roundRect">
          <a:avLst/>
        </a:prstGeom>
        <a:ln>
          <a:solidFill>
            <a:schemeClr val="accent5">
              <a:lumMod val="75000"/>
            </a:schemeClr>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1800" b="1" i="0" u="none" strike="noStrike">
              <a:solidFill>
                <a:srgbClr val="000000"/>
              </a:solidFill>
              <a:latin typeface="Calibri"/>
              <a:ea typeface="Calibri"/>
              <a:cs typeface="Calibri"/>
            </a:rPr>
            <a:t>TOTAL SALES</a:t>
          </a:r>
        </a:p>
        <a:p>
          <a:pPr algn="ctr"/>
          <a:fld id="{1CC72D4A-470D-4EBA-BD5E-A7057F6BD691}" type="TxLink">
            <a:rPr lang="en-US" sz="1800" b="1" i="0" u="none" strike="noStrike">
              <a:solidFill>
                <a:srgbClr val="000000"/>
              </a:solidFill>
              <a:latin typeface="Calibri"/>
              <a:ea typeface="Calibri"/>
              <a:cs typeface="Calibri"/>
            </a:rPr>
            <a:pPr algn="ctr"/>
            <a:t>₹ 8,22,500</a:t>
          </a:fld>
          <a:endParaRPr lang="en-IN" sz="1800" b="1"/>
        </a:p>
      </xdr:txBody>
    </xdr:sp>
    <xdr:clientData/>
  </xdr:twoCellAnchor>
  <xdr:twoCellAnchor>
    <xdr:from>
      <xdr:col>7</xdr:col>
      <xdr:colOff>228234</xdr:colOff>
      <xdr:row>4</xdr:row>
      <xdr:rowOff>49313</xdr:rowOff>
    </xdr:from>
    <xdr:to>
      <xdr:col>11</xdr:col>
      <xdr:colOff>208182</xdr:colOff>
      <xdr:row>9</xdr:row>
      <xdr:rowOff>109471</xdr:rowOff>
    </xdr:to>
    <xdr:sp macro="" textlink="'Pivot Table'!$J$8">
      <xdr:nvSpPr>
        <xdr:cNvPr id="3" name="Rectangle: Rounded Corners 2">
          <a:extLst>
            <a:ext uri="{FF2B5EF4-FFF2-40B4-BE49-F238E27FC236}">
              <a16:creationId xmlns:a16="http://schemas.microsoft.com/office/drawing/2014/main" id="{92DB44BE-C09C-4D03-850E-5B2AEC8BC7B4}"/>
            </a:ext>
          </a:extLst>
        </xdr:cNvPr>
        <xdr:cNvSpPr/>
      </xdr:nvSpPr>
      <xdr:spPr>
        <a:xfrm>
          <a:off x="4510459" y="779116"/>
          <a:ext cx="2426934" cy="972411"/>
        </a:xfrm>
        <a:prstGeom prst="roundRect">
          <a:avLst/>
        </a:prstGeom>
        <a:ln>
          <a:solidFill>
            <a:schemeClr val="accent5">
              <a:lumMod val="75000"/>
            </a:schemeClr>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marL="0" indent="0" algn="ctr"/>
          <a:r>
            <a:rPr lang="en-US" sz="1800" b="1" i="0" u="none" strike="noStrike">
              <a:solidFill>
                <a:srgbClr val="000000"/>
              </a:solidFill>
              <a:latin typeface="Calibri"/>
              <a:ea typeface="Calibri"/>
              <a:cs typeface="Calibri"/>
            </a:rPr>
            <a:t>TOTAL</a:t>
          </a:r>
          <a:r>
            <a:rPr lang="en-US" sz="1800" b="1" i="0" u="none" strike="noStrike" baseline="0">
              <a:solidFill>
                <a:srgbClr val="000000"/>
              </a:solidFill>
              <a:latin typeface="Calibri"/>
              <a:ea typeface="Calibri"/>
              <a:cs typeface="Calibri"/>
            </a:rPr>
            <a:t> PROFIT</a:t>
          </a:r>
        </a:p>
        <a:p>
          <a:pPr marL="0" indent="0" algn="ctr"/>
          <a:fld id="{E5A938A3-7E1A-400E-B178-C754AC947414}" type="TxLink">
            <a:rPr lang="en-US" sz="1800" b="1" i="0" u="none" strike="noStrike">
              <a:solidFill>
                <a:srgbClr val="000000"/>
              </a:solidFill>
              <a:latin typeface="Calibri"/>
              <a:ea typeface="Calibri"/>
              <a:cs typeface="Calibri"/>
            </a:rPr>
            <a:pPr marL="0" indent="0" algn="ctr"/>
            <a:t>₹ 1,59,070</a:t>
          </a:fld>
          <a:endParaRPr lang="en-IN" sz="1800" b="1">
            <a:solidFill>
              <a:schemeClr val="dk1"/>
            </a:solidFill>
            <a:latin typeface="+mn-lt"/>
            <a:ea typeface="+mn-ea"/>
            <a:cs typeface="+mn-cs"/>
          </a:endParaRPr>
        </a:p>
      </xdr:txBody>
    </xdr:sp>
    <xdr:clientData/>
  </xdr:twoCellAnchor>
  <xdr:twoCellAnchor>
    <xdr:from>
      <xdr:col>12</xdr:col>
      <xdr:colOff>140143</xdr:colOff>
      <xdr:row>4</xdr:row>
      <xdr:rowOff>40586</xdr:rowOff>
    </xdr:from>
    <xdr:to>
      <xdr:col>16</xdr:col>
      <xdr:colOff>120091</xdr:colOff>
      <xdr:row>9</xdr:row>
      <xdr:rowOff>100744</xdr:rowOff>
    </xdr:to>
    <xdr:sp macro="" textlink="'Pivot Table'!$J$12">
      <xdr:nvSpPr>
        <xdr:cNvPr id="4" name="Rectangle: Rounded Corners 3">
          <a:extLst>
            <a:ext uri="{FF2B5EF4-FFF2-40B4-BE49-F238E27FC236}">
              <a16:creationId xmlns:a16="http://schemas.microsoft.com/office/drawing/2014/main" id="{DC721913-3047-4FD7-9E7A-46FF551EBB3F}"/>
            </a:ext>
          </a:extLst>
        </xdr:cNvPr>
        <xdr:cNvSpPr/>
      </xdr:nvSpPr>
      <xdr:spPr>
        <a:xfrm>
          <a:off x="7481101" y="770389"/>
          <a:ext cx="2426934" cy="972411"/>
        </a:xfrm>
        <a:prstGeom prst="roundRect">
          <a:avLst/>
        </a:prstGeom>
        <a:ln>
          <a:solidFill>
            <a:schemeClr val="accent5">
              <a:lumMod val="75000"/>
            </a:schemeClr>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marL="0" indent="0" algn="ctr"/>
          <a:r>
            <a:rPr lang="en-US" sz="1800" b="1" i="0" u="none" strike="noStrike">
              <a:solidFill>
                <a:srgbClr val="000000"/>
              </a:solidFill>
              <a:latin typeface="Calibri"/>
              <a:ea typeface="Calibri"/>
              <a:cs typeface="Calibri"/>
            </a:rPr>
            <a:t>TOTAL ORDERS</a:t>
          </a:r>
        </a:p>
        <a:p>
          <a:pPr marL="0" indent="0" algn="ctr"/>
          <a:fld id="{C5DA44BB-0434-433E-A27E-7CAB15DB0A06}" type="TxLink">
            <a:rPr lang="en-US" sz="1800" b="1" i="0" u="none" strike="noStrike">
              <a:solidFill>
                <a:srgbClr val="000000"/>
              </a:solidFill>
              <a:latin typeface="Calibri"/>
              <a:ea typeface="Calibri"/>
              <a:cs typeface="Calibri"/>
            </a:rPr>
            <a:pPr marL="0" indent="0" algn="ctr"/>
            <a:t>25</a:t>
          </a:fld>
          <a:endParaRPr lang="en-IN" sz="1800" b="1">
            <a:solidFill>
              <a:schemeClr val="dk1"/>
            </a:solidFill>
            <a:latin typeface="+mn-lt"/>
            <a:ea typeface="+mn-ea"/>
            <a:cs typeface="+mn-cs"/>
          </a:endParaRPr>
        </a:p>
      </xdr:txBody>
    </xdr:sp>
    <xdr:clientData/>
  </xdr:twoCellAnchor>
  <xdr:twoCellAnchor>
    <xdr:from>
      <xdr:col>16</xdr:col>
      <xdr:colOff>594885</xdr:colOff>
      <xdr:row>4</xdr:row>
      <xdr:rowOff>44004</xdr:rowOff>
    </xdr:from>
    <xdr:to>
      <xdr:col>20</xdr:col>
      <xdr:colOff>574832</xdr:colOff>
      <xdr:row>9</xdr:row>
      <xdr:rowOff>104162</xdr:rowOff>
    </xdr:to>
    <xdr:sp macro="" textlink="'Pivot Table'!$J$15">
      <xdr:nvSpPr>
        <xdr:cNvPr id="5" name="Rectangle: Rounded Corners 4">
          <a:extLst>
            <a:ext uri="{FF2B5EF4-FFF2-40B4-BE49-F238E27FC236}">
              <a16:creationId xmlns:a16="http://schemas.microsoft.com/office/drawing/2014/main" id="{E916EFFA-5B50-4B35-90FD-88EAF2D12FB6}"/>
            </a:ext>
          </a:extLst>
        </xdr:cNvPr>
        <xdr:cNvSpPr/>
      </xdr:nvSpPr>
      <xdr:spPr>
        <a:xfrm>
          <a:off x="10382829" y="773807"/>
          <a:ext cx="2426933" cy="972411"/>
        </a:xfrm>
        <a:prstGeom prst="roundRect">
          <a:avLst/>
        </a:prstGeom>
        <a:ln>
          <a:solidFill>
            <a:schemeClr val="accent5">
              <a:lumMod val="75000"/>
            </a:schemeClr>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marL="0" indent="0" algn="ctr"/>
          <a:r>
            <a:rPr lang="en-US" sz="1800" b="1" i="0" u="none" strike="noStrike">
              <a:solidFill>
                <a:srgbClr val="000000"/>
              </a:solidFill>
              <a:latin typeface="Calibri"/>
              <a:ea typeface="Calibri"/>
              <a:cs typeface="Calibri"/>
            </a:rPr>
            <a:t>TOTAL AVERAGE</a:t>
          </a:r>
        </a:p>
        <a:p>
          <a:pPr marL="0" indent="0" algn="ctr"/>
          <a:fld id="{A3E1CFD0-5495-4298-A0A4-447745223D10}" type="TxLink">
            <a:rPr lang="en-US" sz="1800" b="1" i="0" u="none" strike="noStrike">
              <a:solidFill>
                <a:srgbClr val="000000"/>
              </a:solidFill>
              <a:latin typeface="Calibri"/>
              <a:ea typeface="Calibri"/>
              <a:cs typeface="Calibri"/>
            </a:rPr>
            <a:pPr marL="0" indent="0" algn="ctr"/>
            <a:t>₹ 32,900</a:t>
          </a:fld>
          <a:endParaRPr lang="en-IN" sz="1800" b="1">
            <a:solidFill>
              <a:schemeClr val="dk1"/>
            </a:solidFill>
            <a:latin typeface="+mn-lt"/>
            <a:ea typeface="+mn-ea"/>
            <a:cs typeface="+mn-cs"/>
          </a:endParaRPr>
        </a:p>
      </xdr:txBody>
    </xdr:sp>
    <xdr:clientData/>
  </xdr:twoCellAnchor>
  <xdr:twoCellAnchor>
    <xdr:from>
      <xdr:col>2</xdr:col>
      <xdr:colOff>58039</xdr:colOff>
      <xdr:row>9</xdr:row>
      <xdr:rowOff>157456</xdr:rowOff>
    </xdr:from>
    <xdr:to>
      <xdr:col>8</xdr:col>
      <xdr:colOff>348408</xdr:colOff>
      <xdr:row>21</xdr:row>
      <xdr:rowOff>151771</xdr:rowOff>
    </xdr:to>
    <xdr:graphicFrame macro="">
      <xdr:nvGraphicFramePr>
        <xdr:cNvPr id="6" name="Chart 5">
          <a:extLst>
            <a:ext uri="{FF2B5EF4-FFF2-40B4-BE49-F238E27FC236}">
              <a16:creationId xmlns:a16="http://schemas.microsoft.com/office/drawing/2014/main" id="{7FC0ABC4-5550-4159-8E06-EFF6675DFB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53662</xdr:colOff>
      <xdr:row>22</xdr:row>
      <xdr:rowOff>30892</xdr:rowOff>
    </xdr:from>
    <xdr:to>
      <xdr:col>8</xdr:col>
      <xdr:colOff>343436</xdr:colOff>
      <xdr:row>33</xdr:row>
      <xdr:rowOff>152027</xdr:rowOff>
    </xdr:to>
    <xdr:graphicFrame macro="">
      <xdr:nvGraphicFramePr>
        <xdr:cNvPr id="7" name="Chart 6">
          <a:extLst>
            <a:ext uri="{FF2B5EF4-FFF2-40B4-BE49-F238E27FC236}">
              <a16:creationId xmlns:a16="http://schemas.microsoft.com/office/drawing/2014/main" id="{D5B332A6-E6A9-4B15-89F3-5E29AB21C0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128788</xdr:colOff>
      <xdr:row>9</xdr:row>
      <xdr:rowOff>175052</xdr:rowOff>
    </xdr:from>
    <xdr:to>
      <xdr:col>17</xdr:col>
      <xdr:colOff>483973</xdr:colOff>
      <xdr:row>22</xdr:row>
      <xdr:rowOff>64394</xdr:rowOff>
    </xdr:to>
    <xdr:graphicFrame macro="">
      <xdr:nvGraphicFramePr>
        <xdr:cNvPr id="15" name="Chart 14">
          <a:extLst>
            <a:ext uri="{FF2B5EF4-FFF2-40B4-BE49-F238E27FC236}">
              <a16:creationId xmlns:a16="http://schemas.microsoft.com/office/drawing/2014/main" id="{39C83D58-B014-4030-8583-722BB87CAC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118055</xdr:colOff>
      <xdr:row>22</xdr:row>
      <xdr:rowOff>118057</xdr:rowOff>
    </xdr:from>
    <xdr:to>
      <xdr:col>17</xdr:col>
      <xdr:colOff>462507</xdr:colOff>
      <xdr:row>33</xdr:row>
      <xdr:rowOff>96592</xdr:rowOff>
    </xdr:to>
    <xdr:graphicFrame macro="">
      <xdr:nvGraphicFramePr>
        <xdr:cNvPr id="16" name="Chart 15">
          <a:extLst>
            <a:ext uri="{FF2B5EF4-FFF2-40B4-BE49-F238E27FC236}">
              <a16:creationId xmlns:a16="http://schemas.microsoft.com/office/drawing/2014/main" id="{98DF5BBD-E07D-48A5-81ED-BE55528811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429296</xdr:colOff>
      <xdr:row>10</xdr:row>
      <xdr:rowOff>21465</xdr:rowOff>
    </xdr:from>
    <xdr:to>
      <xdr:col>14</xdr:col>
      <xdr:colOff>75126</xdr:colOff>
      <xdr:row>33</xdr:row>
      <xdr:rowOff>107324</xdr:rowOff>
    </xdr:to>
    <xdr:graphicFrame macro="">
      <xdr:nvGraphicFramePr>
        <xdr:cNvPr id="17" name="Chart 16">
          <a:extLst>
            <a:ext uri="{FF2B5EF4-FFF2-40B4-BE49-F238E27FC236}">
              <a16:creationId xmlns:a16="http://schemas.microsoft.com/office/drawing/2014/main" id="{B9ED578A-D38E-4B02-AFEF-E3DAFFE6BC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568817</xdr:colOff>
      <xdr:row>10</xdr:row>
      <xdr:rowOff>32197</xdr:rowOff>
    </xdr:from>
    <xdr:to>
      <xdr:col>26</xdr:col>
      <xdr:colOff>493691</xdr:colOff>
      <xdr:row>33</xdr:row>
      <xdr:rowOff>64395</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817516BA-D03E-4EF7-8EF3-804840B6B0B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932017" y="1860997"/>
              <a:ext cx="5411274" cy="423843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23</xdr:col>
      <xdr:colOff>477913</xdr:colOff>
      <xdr:row>1</xdr:row>
      <xdr:rowOff>114622</xdr:rowOff>
    </xdr:from>
    <xdr:to>
      <xdr:col>26</xdr:col>
      <xdr:colOff>471474</xdr:colOff>
      <xdr:row>9</xdr:row>
      <xdr:rowOff>75127</xdr:rowOff>
    </xdr:to>
    <mc:AlternateContent xmlns:mc="http://schemas.openxmlformats.org/markup-compatibility/2006" xmlns:a14="http://schemas.microsoft.com/office/drawing/2010/main">
      <mc:Choice Requires="a14">
        <xdr:graphicFrame macro="">
          <xdr:nvGraphicFramePr>
            <xdr:cNvPr id="19" name="Region">
              <a:extLst>
                <a:ext uri="{FF2B5EF4-FFF2-40B4-BE49-F238E27FC236}">
                  <a16:creationId xmlns:a16="http://schemas.microsoft.com/office/drawing/2014/main" id="{47D48940-2738-47BC-BEAB-CEA786D9DBA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548082" y="297073"/>
              <a:ext cx="1828800" cy="14201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338666</xdr:colOff>
      <xdr:row>5</xdr:row>
      <xdr:rowOff>103480</xdr:rowOff>
    </xdr:from>
    <xdr:to>
      <xdr:col>30</xdr:col>
      <xdr:colOff>291629</xdr:colOff>
      <xdr:row>14</xdr:row>
      <xdr:rowOff>103481</xdr:rowOff>
    </xdr:to>
    <xdr:sp macro="" textlink="">
      <xdr:nvSpPr>
        <xdr:cNvPr id="8" name="Arrow: Left 7">
          <a:hlinkClick xmlns:r="http://schemas.openxmlformats.org/officeDocument/2006/relationships" r:id="rId7"/>
          <a:extLst>
            <a:ext uri="{FF2B5EF4-FFF2-40B4-BE49-F238E27FC236}">
              <a16:creationId xmlns:a16="http://schemas.microsoft.com/office/drawing/2014/main" id="{BA6956EA-928B-4735-BE2B-0B5B57F84916}"/>
            </a:ext>
          </a:extLst>
        </xdr:cNvPr>
        <xdr:cNvSpPr/>
      </xdr:nvSpPr>
      <xdr:spPr>
        <a:xfrm>
          <a:off x="16848666" y="997184"/>
          <a:ext cx="1787407" cy="1608667"/>
        </a:xfrm>
        <a:prstGeom prst="leftArrow">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ysClr val="windowText" lastClr="000000"/>
              </a:solidFill>
            </a:rPr>
            <a:t>click to see pivot table</a:t>
          </a:r>
        </a:p>
      </xdr:txBody>
    </xdr:sp>
    <xdr:clientData/>
  </xdr:twoCellAnchor>
  <xdr:twoCellAnchor editAs="oneCell">
    <xdr:from>
      <xdr:col>2</xdr:col>
      <xdr:colOff>63500</xdr:colOff>
      <xdr:row>1</xdr:row>
      <xdr:rowOff>25400</xdr:rowOff>
    </xdr:from>
    <xdr:to>
      <xdr:col>3</xdr:col>
      <xdr:colOff>15875</xdr:colOff>
      <xdr:row>4</xdr:row>
      <xdr:rowOff>53975</xdr:rowOff>
    </xdr:to>
    <xdr:pic>
      <xdr:nvPicPr>
        <xdr:cNvPr id="10" name="Picture 9">
          <a:extLst>
            <a:ext uri="{FF2B5EF4-FFF2-40B4-BE49-F238E27FC236}">
              <a16:creationId xmlns:a16="http://schemas.microsoft.com/office/drawing/2014/main" id="{2C45ECAD-CBC9-4AE6-A86F-C9CC70A2CAD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282700" y="203200"/>
          <a:ext cx="561975" cy="561975"/>
        </a:xfrm>
        <a:prstGeom prst="rect">
          <a:avLst/>
        </a:prstGeom>
      </xdr:spPr>
    </xdr:pic>
    <xdr:clientData/>
  </xdr:twoCellAnchor>
  <xdr:twoCellAnchor editAs="oneCell">
    <xdr:from>
      <xdr:col>2</xdr:col>
      <xdr:colOff>482599</xdr:colOff>
      <xdr:row>7</xdr:row>
      <xdr:rowOff>25400</xdr:rowOff>
    </xdr:from>
    <xdr:to>
      <xdr:col>3</xdr:col>
      <xdr:colOff>280030</xdr:colOff>
      <xdr:row>9</xdr:row>
      <xdr:rowOff>69850</xdr:rowOff>
    </xdr:to>
    <xdr:pic>
      <xdr:nvPicPr>
        <xdr:cNvPr id="12" name="Picture 11">
          <a:extLst>
            <a:ext uri="{FF2B5EF4-FFF2-40B4-BE49-F238E27FC236}">
              <a16:creationId xmlns:a16="http://schemas.microsoft.com/office/drawing/2014/main" id="{46877FF0-67D5-4894-9E75-B3167C42112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701799" y="1270000"/>
          <a:ext cx="407031" cy="400050"/>
        </a:xfrm>
        <a:prstGeom prst="rect">
          <a:avLst/>
        </a:prstGeom>
      </xdr:spPr>
    </xdr:pic>
    <xdr:clientData/>
  </xdr:twoCellAnchor>
  <xdr:twoCellAnchor editAs="oneCell">
    <xdr:from>
      <xdr:col>7</xdr:col>
      <xdr:colOff>355600</xdr:colOff>
      <xdr:row>7</xdr:row>
      <xdr:rowOff>3176</xdr:rowOff>
    </xdr:from>
    <xdr:to>
      <xdr:col>8</xdr:col>
      <xdr:colOff>165100</xdr:colOff>
      <xdr:row>9</xdr:row>
      <xdr:rowOff>66676</xdr:rowOff>
    </xdr:to>
    <xdr:pic>
      <xdr:nvPicPr>
        <xdr:cNvPr id="14" name="Picture 13">
          <a:extLst>
            <a:ext uri="{FF2B5EF4-FFF2-40B4-BE49-F238E27FC236}">
              <a16:creationId xmlns:a16="http://schemas.microsoft.com/office/drawing/2014/main" id="{D0A9CF92-4AE6-4A23-BC3A-1C5894720D7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622800" y="1247776"/>
          <a:ext cx="419100" cy="419100"/>
        </a:xfrm>
        <a:prstGeom prst="rect">
          <a:avLst/>
        </a:prstGeom>
      </xdr:spPr>
    </xdr:pic>
    <xdr:clientData/>
  </xdr:twoCellAnchor>
  <xdr:twoCellAnchor editAs="oneCell">
    <xdr:from>
      <xdr:col>12</xdr:col>
      <xdr:colOff>266700</xdr:colOff>
      <xdr:row>6</xdr:row>
      <xdr:rowOff>133350</xdr:rowOff>
    </xdr:from>
    <xdr:to>
      <xdr:col>13</xdr:col>
      <xdr:colOff>114300</xdr:colOff>
      <xdr:row>9</xdr:row>
      <xdr:rowOff>57150</xdr:rowOff>
    </xdr:to>
    <xdr:pic>
      <xdr:nvPicPr>
        <xdr:cNvPr id="23" name="Picture 22">
          <a:extLst>
            <a:ext uri="{FF2B5EF4-FFF2-40B4-BE49-F238E27FC236}">
              <a16:creationId xmlns:a16="http://schemas.microsoft.com/office/drawing/2014/main" id="{D20E721F-198D-409D-9080-85C3DA9ACA6D}"/>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581900" y="1200150"/>
          <a:ext cx="457200" cy="457200"/>
        </a:xfrm>
        <a:prstGeom prst="rect">
          <a:avLst/>
        </a:prstGeom>
      </xdr:spPr>
    </xdr:pic>
    <xdr:clientData/>
  </xdr:twoCellAnchor>
  <xdr:twoCellAnchor editAs="oneCell">
    <xdr:from>
      <xdr:col>17</xdr:col>
      <xdr:colOff>139698</xdr:colOff>
      <xdr:row>6</xdr:row>
      <xdr:rowOff>165100</xdr:rowOff>
    </xdr:from>
    <xdr:to>
      <xdr:col>17</xdr:col>
      <xdr:colOff>596897</xdr:colOff>
      <xdr:row>9</xdr:row>
      <xdr:rowOff>88899</xdr:rowOff>
    </xdr:to>
    <xdr:pic>
      <xdr:nvPicPr>
        <xdr:cNvPr id="25" name="Picture 24">
          <a:extLst>
            <a:ext uri="{FF2B5EF4-FFF2-40B4-BE49-F238E27FC236}">
              <a16:creationId xmlns:a16="http://schemas.microsoft.com/office/drawing/2014/main" id="{B2AABC0F-F208-4AAA-8FE1-76A5ADF6745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flipH="1">
          <a:off x="10502898" y="1231900"/>
          <a:ext cx="457199" cy="45719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dashboard%203.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chin" refreshedDate="46232.099100347223" createdVersion="7" refreshedVersion="7" minRefreshableVersion="3" recordCount="25" xr:uid="{169ED19C-CD79-4961-9808-BA343216AB7E}">
  <cacheSource type="worksheet">
    <worksheetSource ref="A1:J26" sheet="Sales" r:id="rId2"/>
  </cacheSource>
  <cacheFields count="10">
    <cacheField name="Month" numFmtId="0">
      <sharedItems count="12">
        <s v="January"/>
        <s v="February"/>
        <s v="March"/>
        <s v="April"/>
        <s v="May"/>
        <s v="June"/>
        <s v="July"/>
        <s v="August"/>
        <s v="September"/>
        <s v="October"/>
        <s v="November"/>
        <s v="December"/>
      </sharedItems>
    </cacheField>
    <cacheField name="Region" numFmtId="0">
      <sharedItems count="4">
        <s v="North"/>
        <s v="South"/>
        <s v="East"/>
        <s v="West"/>
      </sharedItems>
    </cacheField>
    <cacheField name="State" numFmtId="0">
      <sharedItems count="22">
        <s v="Delhi"/>
        <s v="Punjab"/>
        <s v="Karnataka"/>
        <s v="Tamil Nadu"/>
        <s v="West Bengal"/>
        <s v="Odisha"/>
        <s v="Maharashtra"/>
        <s v="Gujarat"/>
        <s v="Haryana"/>
        <s v="Uttar Pradesh"/>
        <s v="Kerala"/>
        <s v="Andhra Pradesh"/>
        <s v="Bihar"/>
        <s v="Jharkhand"/>
        <s v="Madhya Pradesh"/>
        <s v="Goa"/>
        <s v="Rajasthan"/>
        <s v="Telangana"/>
        <s v="Assam"/>
        <s v="Dadra &amp; Nagar Haveli"/>
        <s v="Uttarakhand"/>
        <s v="Chhattisgarh"/>
      </sharedItems>
    </cacheField>
    <cacheField name="Category" numFmtId="0">
      <sharedItems count="3">
        <s v="Electronics"/>
        <s v="Furniture"/>
        <s v="Office Supplies"/>
      </sharedItems>
    </cacheField>
    <cacheField name="Product" numFmtId="0">
      <sharedItems count="6">
        <s v="Laptop"/>
        <s v="Mobile"/>
        <s v="Tablet"/>
        <s v="Chair"/>
        <s v="Table"/>
        <s v="Printer"/>
      </sharedItems>
    </cacheField>
    <cacheField name="Total Sales" numFmtId="3">
      <sharedItems containsSemiMixedTypes="0" containsString="0" containsNumber="1" containsInteger="1" minValue="17800" maxValue="58000"/>
    </cacheField>
    <cacheField name="Orders" numFmtId="0">
      <sharedItems containsSemiMixedTypes="0" containsString="0" containsNumber="1" containsInteger="1" minValue="58" maxValue="225"/>
    </cacheField>
    <cacheField name="Quantity Sold" numFmtId="0">
      <sharedItems containsSemiMixedTypes="0" containsString="0" containsNumber="1" containsInteger="1" minValue="58" maxValue="225"/>
    </cacheField>
    <cacheField name="Profit" numFmtId="3">
      <sharedItems containsSemiMixedTypes="0" containsString="0" containsNumber="1" containsInteger="1" minValue="2990" maxValue="11600" count="25">
        <n v="10400"/>
        <n v="8300"/>
        <n v="10800"/>
        <n v="8760"/>
        <n v="9500"/>
        <n v="8040"/>
        <n v="10000"/>
        <n v="8560"/>
        <n v="4900"/>
        <n v="3640"/>
        <n v="3760"/>
        <n v="5400"/>
        <n v="4720"/>
        <n v="3300"/>
        <n v="3520"/>
        <n v="4920"/>
        <n v="5070"/>
        <n v="5280"/>
        <n v="4710"/>
        <n v="3060"/>
        <n v="3200"/>
        <n v="3440"/>
        <n v="2990"/>
        <n v="11200"/>
        <n v="11600"/>
      </sharedItems>
    </cacheField>
    <cacheField name="Avg. Order Value" numFmtId="0">
      <sharedItems containsSemiMixedTypes="0" containsString="0" containsNumber="1" containsInteger="1" minValue="105" maxValue="500"/>
    </cacheField>
  </cacheFields>
  <extLst>
    <ext xmlns:x14="http://schemas.microsoft.com/office/spreadsheetml/2009/9/main" uri="{725AE2AE-9491-48be-B2B4-4EB974FC3084}">
      <x14:pivotCacheDefinition pivotCacheId="19486536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x v="0"/>
    <x v="0"/>
    <x v="0"/>
    <x v="0"/>
    <n v="52000"/>
    <n v="105"/>
    <n v="105"/>
    <x v="0"/>
    <n v="495"/>
  </r>
  <r>
    <x v="0"/>
    <x v="0"/>
    <x v="1"/>
    <x v="0"/>
    <x v="1"/>
    <n v="41500"/>
    <n v="220"/>
    <n v="220"/>
    <x v="1"/>
    <n v="189"/>
  </r>
  <r>
    <x v="0"/>
    <x v="1"/>
    <x v="2"/>
    <x v="0"/>
    <x v="0"/>
    <n v="54000"/>
    <n v="108"/>
    <n v="108"/>
    <x v="2"/>
    <n v="500"/>
  </r>
  <r>
    <x v="1"/>
    <x v="1"/>
    <x v="3"/>
    <x v="0"/>
    <x v="1"/>
    <n v="43800"/>
    <n v="225"/>
    <n v="225"/>
    <x v="3"/>
    <n v="195"/>
  </r>
  <r>
    <x v="1"/>
    <x v="2"/>
    <x v="4"/>
    <x v="0"/>
    <x v="0"/>
    <n v="47500"/>
    <n v="98"/>
    <n v="98"/>
    <x v="4"/>
    <n v="485"/>
  </r>
  <r>
    <x v="2"/>
    <x v="2"/>
    <x v="5"/>
    <x v="0"/>
    <x v="1"/>
    <n v="40200"/>
    <n v="210"/>
    <n v="210"/>
    <x v="5"/>
    <n v="191"/>
  </r>
  <r>
    <x v="2"/>
    <x v="3"/>
    <x v="6"/>
    <x v="0"/>
    <x v="0"/>
    <n v="50000"/>
    <n v="102"/>
    <n v="102"/>
    <x v="6"/>
    <n v="490"/>
  </r>
  <r>
    <x v="3"/>
    <x v="3"/>
    <x v="7"/>
    <x v="0"/>
    <x v="1"/>
    <n v="42800"/>
    <n v="220"/>
    <n v="220"/>
    <x v="7"/>
    <n v="194"/>
  </r>
  <r>
    <x v="3"/>
    <x v="0"/>
    <x v="8"/>
    <x v="0"/>
    <x v="2"/>
    <n v="24500"/>
    <n v="80"/>
    <n v="80"/>
    <x v="8"/>
    <n v="306"/>
  </r>
  <r>
    <x v="4"/>
    <x v="0"/>
    <x v="9"/>
    <x v="1"/>
    <x v="3"/>
    <n v="20800"/>
    <n v="195"/>
    <n v="195"/>
    <x v="9"/>
    <n v="107"/>
  </r>
  <r>
    <x v="4"/>
    <x v="1"/>
    <x v="10"/>
    <x v="1"/>
    <x v="3"/>
    <n v="21500"/>
    <n v="200"/>
    <n v="200"/>
    <x v="10"/>
    <n v="108"/>
  </r>
  <r>
    <x v="5"/>
    <x v="1"/>
    <x v="11"/>
    <x v="1"/>
    <x v="4"/>
    <n v="28000"/>
    <n v="92"/>
    <n v="92"/>
    <x v="11"/>
    <n v="304"/>
  </r>
  <r>
    <x v="5"/>
    <x v="2"/>
    <x v="12"/>
    <x v="0"/>
    <x v="2"/>
    <n v="23600"/>
    <n v="76"/>
    <n v="76"/>
    <x v="12"/>
    <n v="311"/>
  </r>
  <r>
    <x v="6"/>
    <x v="2"/>
    <x v="13"/>
    <x v="1"/>
    <x v="3"/>
    <n v="18900"/>
    <n v="180"/>
    <n v="180"/>
    <x v="13"/>
    <n v="105"/>
  </r>
  <r>
    <x v="6"/>
    <x v="3"/>
    <x v="14"/>
    <x v="1"/>
    <x v="3"/>
    <n v="20100"/>
    <n v="188"/>
    <n v="188"/>
    <x v="14"/>
    <n v="107"/>
  </r>
  <r>
    <x v="7"/>
    <x v="3"/>
    <x v="15"/>
    <x v="1"/>
    <x v="4"/>
    <n v="25900"/>
    <n v="86"/>
    <n v="86"/>
    <x v="15"/>
    <n v="301"/>
  </r>
  <r>
    <x v="7"/>
    <x v="0"/>
    <x v="16"/>
    <x v="1"/>
    <x v="4"/>
    <n v="26700"/>
    <n v="88"/>
    <n v="88"/>
    <x v="16"/>
    <n v="303"/>
  </r>
  <r>
    <x v="8"/>
    <x v="1"/>
    <x v="17"/>
    <x v="0"/>
    <x v="2"/>
    <n v="26400"/>
    <n v="86"/>
    <n v="86"/>
    <x v="17"/>
    <n v="307"/>
  </r>
  <r>
    <x v="8"/>
    <x v="2"/>
    <x v="18"/>
    <x v="1"/>
    <x v="4"/>
    <n v="24800"/>
    <n v="82"/>
    <n v="82"/>
    <x v="18"/>
    <n v="302"/>
  </r>
  <r>
    <x v="9"/>
    <x v="3"/>
    <x v="19"/>
    <x v="2"/>
    <x v="5"/>
    <n v="18200"/>
    <n v="60"/>
    <n v="60"/>
    <x v="19"/>
    <n v="303"/>
  </r>
  <r>
    <x v="9"/>
    <x v="0"/>
    <x v="20"/>
    <x v="2"/>
    <x v="5"/>
    <n v="19000"/>
    <n v="62"/>
    <n v="62"/>
    <x v="20"/>
    <n v="306"/>
  </r>
  <r>
    <x v="10"/>
    <x v="1"/>
    <x v="15"/>
    <x v="2"/>
    <x v="5"/>
    <n v="20500"/>
    <n v="67"/>
    <n v="67"/>
    <x v="21"/>
    <n v="306"/>
  </r>
  <r>
    <x v="10"/>
    <x v="2"/>
    <x v="21"/>
    <x v="2"/>
    <x v="5"/>
    <n v="17800"/>
    <n v="58"/>
    <n v="58"/>
    <x v="22"/>
    <n v="307"/>
  </r>
  <r>
    <x v="11"/>
    <x v="3"/>
    <x v="6"/>
    <x v="0"/>
    <x v="0"/>
    <n v="56000"/>
    <n v="113"/>
    <n v="113"/>
    <x v="23"/>
    <n v="496"/>
  </r>
  <r>
    <x v="11"/>
    <x v="1"/>
    <x v="2"/>
    <x v="0"/>
    <x v="0"/>
    <n v="58000"/>
    <n v="116"/>
    <n v="116"/>
    <x v="24"/>
    <n v="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05514A-5A84-4AA5-8251-B4355195F3F8}" name="PivotTable10"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location ref="J14:J15" firstHeaderRow="1" firstDataRow="1" firstDataCol="0"/>
  <pivotFields count="10">
    <pivotField showAll="0">
      <items count="13">
        <item x="0"/>
        <item x="1"/>
        <item x="2"/>
        <item x="3"/>
        <item x="4"/>
        <item x="5"/>
        <item x="6"/>
        <item x="7"/>
        <item x="8"/>
        <item x="9"/>
        <item x="10"/>
        <item x="11"/>
        <item t="default"/>
      </items>
    </pivotField>
    <pivotField showAll="0">
      <items count="5">
        <item h="1" x="2"/>
        <item x="0"/>
        <item h="1" x="1"/>
        <item h="1" x="3"/>
        <item t="default"/>
      </items>
    </pivotField>
    <pivotField showAll="0"/>
    <pivotField showAll="0"/>
    <pivotField showAll="0"/>
    <pivotField dataField="1" numFmtId="3" showAll="0"/>
    <pivotField showAll="0"/>
    <pivotField showAll="0"/>
    <pivotField numFmtId="3" showAll="0">
      <items count="26">
        <item x="22"/>
        <item x="19"/>
        <item x="20"/>
        <item x="13"/>
        <item x="21"/>
        <item x="14"/>
        <item x="9"/>
        <item x="10"/>
        <item x="18"/>
        <item x="12"/>
        <item x="8"/>
        <item x="15"/>
        <item x="16"/>
        <item x="17"/>
        <item x="11"/>
        <item x="5"/>
        <item x="1"/>
        <item x="7"/>
        <item x="3"/>
        <item x="4"/>
        <item x="6"/>
        <item x="0"/>
        <item x="2"/>
        <item x="23"/>
        <item x="24"/>
        <item t="default"/>
      </items>
    </pivotField>
    <pivotField showAll="0"/>
  </pivotFields>
  <rowItems count="1">
    <i/>
  </rowItems>
  <colItems count="1">
    <i/>
  </colItems>
  <dataFields count="1">
    <dataField name="Average of Total Sales" fld="5"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BDCF9A-8217-476F-B79F-7F943C0A7DDD}" name="PivotTable9"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location ref="J11:J12" firstHeaderRow="1" firstDataRow="1" firstDataCol="0"/>
  <pivotFields count="10">
    <pivotField showAll="0">
      <items count="13">
        <item x="0"/>
        <item x="1"/>
        <item x="2"/>
        <item x="3"/>
        <item x="4"/>
        <item x="5"/>
        <item x="6"/>
        <item x="7"/>
        <item x="8"/>
        <item x="9"/>
        <item x="10"/>
        <item x="11"/>
        <item t="default"/>
      </items>
    </pivotField>
    <pivotField showAll="0">
      <items count="5">
        <item h="1" x="2"/>
        <item x="0"/>
        <item h="1" x="1"/>
        <item h="1" x="3"/>
        <item t="default"/>
      </items>
    </pivotField>
    <pivotField showAll="0"/>
    <pivotField showAll="0"/>
    <pivotField showAll="0"/>
    <pivotField numFmtId="3" showAll="0"/>
    <pivotField dataField="1" showAll="0"/>
    <pivotField showAll="0"/>
    <pivotField numFmtId="3" showAll="0">
      <items count="26">
        <item x="22"/>
        <item x="19"/>
        <item x="20"/>
        <item x="13"/>
        <item x="21"/>
        <item x="14"/>
        <item x="9"/>
        <item x="10"/>
        <item x="18"/>
        <item x="12"/>
        <item x="8"/>
        <item x="15"/>
        <item x="16"/>
        <item x="17"/>
        <item x="11"/>
        <item x="5"/>
        <item x="1"/>
        <item x="7"/>
        <item x="3"/>
        <item x="4"/>
        <item x="6"/>
        <item x="0"/>
        <item x="2"/>
        <item x="23"/>
        <item x="24"/>
        <item t="default"/>
      </items>
    </pivotField>
    <pivotField showAll="0"/>
  </pivotFields>
  <rowItems count="1">
    <i/>
  </rowItems>
  <colItems count="1">
    <i/>
  </colItems>
  <dataFields count="1">
    <dataField name="Count of Orders"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418F7D-93BC-409E-8662-B3A0E9AA5707}" name="CATEGORY"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5">
  <location ref="D12:E16" firstHeaderRow="1" firstDataRow="1" firstDataCol="1"/>
  <pivotFields count="10">
    <pivotField showAll="0">
      <items count="13">
        <item x="0"/>
        <item x="1"/>
        <item x="2"/>
        <item x="3"/>
        <item x="4"/>
        <item x="5"/>
        <item x="6"/>
        <item x="7"/>
        <item x="8"/>
        <item x="9"/>
        <item x="10"/>
        <item x="11"/>
        <item t="default"/>
      </items>
    </pivotField>
    <pivotField showAll="0">
      <items count="5">
        <item h="1" x="2"/>
        <item x="0"/>
        <item h="1" x="1"/>
        <item h="1" x="3"/>
        <item t="default"/>
      </items>
    </pivotField>
    <pivotField showAll="0"/>
    <pivotField axis="axisRow" showAll="0">
      <items count="4">
        <item x="0"/>
        <item x="1"/>
        <item x="2"/>
        <item t="default"/>
      </items>
    </pivotField>
    <pivotField showAll="0"/>
    <pivotField dataField="1" numFmtId="3" showAll="0"/>
    <pivotField showAll="0"/>
    <pivotField showAll="0"/>
    <pivotField numFmtId="3" showAll="0">
      <items count="26">
        <item x="22"/>
        <item x="19"/>
        <item x="20"/>
        <item x="13"/>
        <item x="21"/>
        <item x="14"/>
        <item x="9"/>
        <item x="10"/>
        <item x="18"/>
        <item x="12"/>
        <item x="8"/>
        <item x="15"/>
        <item x="16"/>
        <item x="17"/>
        <item x="11"/>
        <item x="5"/>
        <item x="1"/>
        <item x="7"/>
        <item x="3"/>
        <item x="4"/>
        <item x="6"/>
        <item x="0"/>
        <item x="2"/>
        <item x="23"/>
        <item x="24"/>
        <item t="default"/>
      </items>
    </pivotField>
    <pivotField showAll="0"/>
  </pivotFields>
  <rowFields count="1">
    <field x="3"/>
  </rowFields>
  <rowItems count="4">
    <i>
      <x/>
    </i>
    <i>
      <x v="1"/>
    </i>
    <i>
      <x v="2"/>
    </i>
    <i t="grand">
      <x/>
    </i>
  </rowItems>
  <colItems count="1">
    <i/>
  </colItems>
  <dataFields count="1">
    <dataField name="Sum of Total Sales" fld="5" baseField="0" baseItem="0"/>
  </dataFields>
  <chartFormats count="4">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3" count="1" selected="0">
            <x v="0"/>
          </reference>
        </references>
      </pivotArea>
    </chartFormat>
    <chartFormat chart="12" format="7">
      <pivotArea type="data" outline="0" fieldPosition="0">
        <references count="2">
          <reference field="4294967294" count="1" selected="0">
            <x v="0"/>
          </reference>
          <reference field="3" count="1" selected="0">
            <x v="1"/>
          </reference>
        </references>
      </pivotArea>
    </chartFormat>
    <chartFormat chart="12"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8E4C5B-D727-45D7-98FA-C870662110B1}" name="PivotTable7"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location ref="J3:J4" firstHeaderRow="1" firstDataRow="1" firstDataCol="0"/>
  <pivotFields count="10">
    <pivotField showAll="0">
      <items count="13">
        <item x="0"/>
        <item x="1"/>
        <item x="2"/>
        <item x="3"/>
        <item x="4"/>
        <item x="5"/>
        <item x="6"/>
        <item x="7"/>
        <item x="8"/>
        <item x="9"/>
        <item x="10"/>
        <item x="11"/>
        <item t="default"/>
      </items>
    </pivotField>
    <pivotField showAll="0">
      <items count="5">
        <item h="1" x="2"/>
        <item x="0"/>
        <item h="1" x="1"/>
        <item h="1" x="3"/>
        <item t="default"/>
      </items>
    </pivotField>
    <pivotField showAll="0"/>
    <pivotField showAll="0"/>
    <pivotField showAll="0"/>
    <pivotField dataField="1" numFmtId="3" showAll="0"/>
    <pivotField showAll="0"/>
    <pivotField showAll="0"/>
    <pivotField numFmtId="3" showAll="0">
      <items count="26">
        <item x="22"/>
        <item x="19"/>
        <item x="20"/>
        <item x="13"/>
        <item x="21"/>
        <item x="14"/>
        <item x="9"/>
        <item x="10"/>
        <item x="18"/>
        <item x="12"/>
        <item x="8"/>
        <item x="15"/>
        <item x="16"/>
        <item x="17"/>
        <item x="11"/>
        <item x="5"/>
        <item x="1"/>
        <item x="7"/>
        <item x="3"/>
        <item x="4"/>
        <item x="6"/>
        <item x="0"/>
        <item x="2"/>
        <item x="23"/>
        <item x="24"/>
        <item t="default"/>
      </items>
    </pivotField>
    <pivotField showAll="0"/>
  </pivotFields>
  <rowItems count="1">
    <i/>
  </rowItems>
  <colItems count="1">
    <i/>
  </colItems>
  <dataFields count="1">
    <dataField name="Sum of Total Sales" fld="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C5FD1C-5474-4828-8B77-EB01752FFB9F}" name="product"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4">
  <location ref="G3:H10" firstHeaderRow="1" firstDataRow="1" firstDataCol="1"/>
  <pivotFields count="10">
    <pivotField showAll="0">
      <items count="13">
        <item x="0"/>
        <item x="1"/>
        <item x="2"/>
        <item x="3"/>
        <item x="4"/>
        <item x="5"/>
        <item x="6"/>
        <item x="7"/>
        <item x="8"/>
        <item x="9"/>
        <item x="10"/>
        <item x="11"/>
        <item t="default"/>
      </items>
    </pivotField>
    <pivotField showAll="0">
      <items count="5">
        <item h="1" x="2"/>
        <item x="0"/>
        <item h="1" x="1"/>
        <item h="1" x="3"/>
        <item t="default"/>
      </items>
    </pivotField>
    <pivotField showAll="0"/>
    <pivotField showAll="0">
      <items count="4">
        <item x="0"/>
        <item x="1"/>
        <item x="2"/>
        <item t="default"/>
      </items>
    </pivotField>
    <pivotField axis="axisRow" showAll="0">
      <items count="7">
        <item x="3"/>
        <item x="0"/>
        <item x="1"/>
        <item x="5"/>
        <item x="4"/>
        <item x="2"/>
        <item t="default"/>
      </items>
    </pivotField>
    <pivotField dataField="1" numFmtId="3" showAll="0"/>
    <pivotField showAll="0"/>
    <pivotField showAll="0"/>
    <pivotField numFmtId="3" showAll="0">
      <items count="26">
        <item x="22"/>
        <item x="19"/>
        <item x="20"/>
        <item x="13"/>
        <item x="21"/>
        <item x="14"/>
        <item x="9"/>
        <item x="10"/>
        <item x="18"/>
        <item x="12"/>
        <item x="8"/>
        <item x="15"/>
        <item x="16"/>
        <item x="17"/>
        <item x="11"/>
        <item x="5"/>
        <item x="1"/>
        <item x="7"/>
        <item x="3"/>
        <item x="4"/>
        <item x="6"/>
        <item x="0"/>
        <item x="2"/>
        <item x="23"/>
        <item x="24"/>
        <item t="default"/>
      </items>
    </pivotField>
    <pivotField showAll="0"/>
  </pivotFields>
  <rowFields count="1">
    <field x="4"/>
  </rowFields>
  <rowItems count="7">
    <i>
      <x/>
    </i>
    <i>
      <x v="1"/>
    </i>
    <i>
      <x v="2"/>
    </i>
    <i>
      <x v="3"/>
    </i>
    <i>
      <x v="4"/>
    </i>
    <i>
      <x v="5"/>
    </i>
    <i t="grand">
      <x/>
    </i>
  </rowItems>
  <colItems count="1">
    <i/>
  </colItems>
  <dataFields count="1">
    <dataField name="Sum of Total Sales" fld="5"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C2D8A6-7739-48F8-9855-46058E8BE9A6}" name="PivotTable6"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0">
  <location ref="D20:E22" firstHeaderRow="1" firstDataRow="1" firstDataCol="1"/>
  <pivotFields count="10">
    <pivotField showAll="0">
      <items count="13">
        <item x="0"/>
        <item x="1"/>
        <item x="2"/>
        <item x="3"/>
        <item x="4"/>
        <item x="5"/>
        <item x="6"/>
        <item x="7"/>
        <item x="8"/>
        <item x="9"/>
        <item x="10"/>
        <item x="11"/>
        <item t="default"/>
      </items>
    </pivotField>
    <pivotField axis="axisRow" showAll="0">
      <items count="5">
        <item h="1" x="2"/>
        <item x="0"/>
        <item h="1" x="1"/>
        <item h="1" x="3"/>
        <item t="default"/>
      </items>
    </pivotField>
    <pivotField showAll="0"/>
    <pivotField showAll="0"/>
    <pivotField showAll="0"/>
    <pivotField numFmtId="3" showAll="0"/>
    <pivotField showAll="0"/>
    <pivotField showAll="0"/>
    <pivotField dataField="1" numFmtId="3" showAll="0">
      <items count="26">
        <item x="22"/>
        <item x="19"/>
        <item x="20"/>
        <item x="13"/>
        <item x="21"/>
        <item x="14"/>
        <item x="9"/>
        <item x="10"/>
        <item x="18"/>
        <item x="12"/>
        <item x="8"/>
        <item x="15"/>
        <item x="16"/>
        <item x="17"/>
        <item x="11"/>
        <item x="5"/>
        <item x="1"/>
        <item x="7"/>
        <item x="3"/>
        <item x="4"/>
        <item x="6"/>
        <item x="0"/>
        <item x="2"/>
        <item x="23"/>
        <item x="24"/>
        <item t="default"/>
      </items>
    </pivotField>
    <pivotField showAll="0"/>
  </pivotFields>
  <rowFields count="1">
    <field x="1"/>
  </rowFields>
  <rowItems count="2">
    <i>
      <x v="1"/>
    </i>
    <i t="grand">
      <x/>
    </i>
  </rowItems>
  <colItems count="1">
    <i/>
  </colItems>
  <dataFields count="1">
    <dataField name="Sum of Profit" fld="8" baseField="0" baseItem="0"/>
  </dataFields>
  <chartFormats count="5">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 count="1" selected="0">
            <x v="0"/>
          </reference>
        </references>
      </pivotArea>
    </chartFormat>
    <chartFormat chart="8" format="8">
      <pivotArea type="data" outline="0" fieldPosition="0">
        <references count="2">
          <reference field="4294967294" count="1" selected="0">
            <x v="0"/>
          </reference>
          <reference field="1" count="1" selected="0">
            <x v="1"/>
          </reference>
        </references>
      </pivotArea>
    </chartFormat>
    <chartFormat chart="8" format="9">
      <pivotArea type="data" outline="0" fieldPosition="0">
        <references count="2">
          <reference field="4294967294" count="1" selected="0">
            <x v="0"/>
          </reference>
          <reference field="1" count="1" selected="0">
            <x v="2"/>
          </reference>
        </references>
      </pivotArea>
    </chartFormat>
    <chartFormat chart="8"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12F318-A36F-435C-A518-80C1F8FA6E9B}" name="MONTHS"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3">
  <location ref="A3:B9" firstHeaderRow="1" firstDataRow="1" firstDataCol="1"/>
  <pivotFields count="10">
    <pivotField axis="axisRow" showAll="0">
      <items count="13">
        <item x="0"/>
        <item x="1"/>
        <item x="2"/>
        <item x="3"/>
        <item x="4"/>
        <item x="5"/>
        <item x="6"/>
        <item x="7"/>
        <item x="8"/>
        <item x="9"/>
        <item x="10"/>
        <item x="11"/>
        <item t="default"/>
      </items>
    </pivotField>
    <pivotField showAll="0">
      <items count="5">
        <item h="1" x="2"/>
        <item x="0"/>
        <item h="1" x="1"/>
        <item h="1" x="3"/>
        <item t="default"/>
      </items>
    </pivotField>
    <pivotField showAll="0"/>
    <pivotField showAll="0"/>
    <pivotField showAll="0"/>
    <pivotField numFmtId="3" showAll="0"/>
    <pivotField showAll="0"/>
    <pivotField showAll="0"/>
    <pivotField dataField="1" numFmtId="3" showAll="0">
      <items count="26">
        <item x="22"/>
        <item x="19"/>
        <item x="20"/>
        <item x="13"/>
        <item x="21"/>
        <item x="14"/>
        <item x="9"/>
        <item x="10"/>
        <item x="18"/>
        <item x="12"/>
        <item x="8"/>
        <item x="15"/>
        <item x="16"/>
        <item x="17"/>
        <item x="11"/>
        <item x="5"/>
        <item x="1"/>
        <item x="7"/>
        <item x="3"/>
        <item x="4"/>
        <item x="6"/>
        <item x="0"/>
        <item x="2"/>
        <item x="23"/>
        <item x="24"/>
        <item t="default"/>
      </items>
    </pivotField>
    <pivotField showAll="0"/>
  </pivotFields>
  <rowFields count="1">
    <field x="0"/>
  </rowFields>
  <rowItems count="6">
    <i>
      <x/>
    </i>
    <i>
      <x v="3"/>
    </i>
    <i>
      <x v="4"/>
    </i>
    <i>
      <x v="7"/>
    </i>
    <i>
      <x v="9"/>
    </i>
    <i t="grand">
      <x/>
    </i>
  </rowItems>
  <colItems count="1">
    <i/>
  </colItems>
  <dataFields count="1">
    <dataField name="Sum of Profit" fld="8"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FA91607-7BE6-4121-8F09-298FE06C937E}" name="PivotTable8"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location ref="J7:J8" firstHeaderRow="1" firstDataRow="1" firstDataCol="0"/>
  <pivotFields count="10">
    <pivotField showAll="0">
      <items count="13">
        <item x="0"/>
        <item x="1"/>
        <item x="2"/>
        <item x="3"/>
        <item x="4"/>
        <item x="5"/>
        <item x="6"/>
        <item x="7"/>
        <item x="8"/>
        <item x="9"/>
        <item x="10"/>
        <item x="11"/>
        <item t="default"/>
      </items>
    </pivotField>
    <pivotField showAll="0">
      <items count="5">
        <item h="1" x="2"/>
        <item x="0"/>
        <item h="1" x="1"/>
        <item h="1" x="3"/>
        <item t="default"/>
      </items>
    </pivotField>
    <pivotField showAll="0"/>
    <pivotField showAll="0"/>
    <pivotField showAll="0"/>
    <pivotField numFmtId="3" showAll="0"/>
    <pivotField showAll="0"/>
    <pivotField showAll="0"/>
    <pivotField dataField="1" numFmtId="3" showAll="0">
      <items count="26">
        <item x="22"/>
        <item x="19"/>
        <item x="20"/>
        <item x="13"/>
        <item x="21"/>
        <item x="14"/>
        <item x="9"/>
        <item x="10"/>
        <item x="18"/>
        <item x="12"/>
        <item x="8"/>
        <item x="15"/>
        <item x="16"/>
        <item x="17"/>
        <item x="11"/>
        <item x="5"/>
        <item x="1"/>
        <item x="7"/>
        <item x="3"/>
        <item x="4"/>
        <item x="6"/>
        <item x="0"/>
        <item x="2"/>
        <item x="23"/>
        <item x="24"/>
        <item t="default"/>
      </items>
    </pivotField>
    <pivotField showAll="0"/>
  </pivotFields>
  <rowItems count="1">
    <i/>
  </rowItems>
  <colItems count="1">
    <i/>
  </colItems>
  <dataFields count="1">
    <dataField name="Sum of Profit"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270FCF0-0FED-4BCB-8EAF-8AC8DFB5BC19}" name="REGION"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1">
  <location ref="D3:E5" firstHeaderRow="1" firstDataRow="1" firstDataCol="1"/>
  <pivotFields count="10">
    <pivotField showAll="0">
      <items count="13">
        <item x="0"/>
        <item x="1"/>
        <item x="2"/>
        <item x="3"/>
        <item x="4"/>
        <item x="5"/>
        <item x="6"/>
        <item x="7"/>
        <item x="8"/>
        <item x="9"/>
        <item x="10"/>
        <item x="11"/>
        <item t="default"/>
      </items>
    </pivotField>
    <pivotField axis="axisRow" showAll="0">
      <items count="5">
        <item h="1" x="2"/>
        <item x="0"/>
        <item h="1" x="1"/>
        <item h="1" x="3"/>
        <item t="default"/>
      </items>
    </pivotField>
    <pivotField showAll="0"/>
    <pivotField showAll="0"/>
    <pivotField showAll="0"/>
    <pivotField dataField="1" numFmtId="3" showAll="0"/>
    <pivotField showAll="0"/>
    <pivotField showAll="0"/>
    <pivotField numFmtId="3" showAll="0">
      <items count="26">
        <item x="22"/>
        <item x="19"/>
        <item x="20"/>
        <item x="13"/>
        <item x="21"/>
        <item x="14"/>
        <item x="9"/>
        <item x="10"/>
        <item x="18"/>
        <item x="12"/>
        <item x="8"/>
        <item x="15"/>
        <item x="16"/>
        <item x="17"/>
        <item x="11"/>
        <item x="5"/>
        <item x="1"/>
        <item x="7"/>
        <item x="3"/>
        <item x="4"/>
        <item x="6"/>
        <item x="0"/>
        <item x="2"/>
        <item x="23"/>
        <item x="24"/>
        <item t="default"/>
      </items>
    </pivotField>
    <pivotField showAll="0"/>
  </pivotFields>
  <rowFields count="1">
    <field x="1"/>
  </rowFields>
  <rowItems count="2">
    <i>
      <x v="1"/>
    </i>
    <i t="grand">
      <x/>
    </i>
  </rowItems>
  <colItems count="1">
    <i/>
  </colItems>
  <dataFields count="1">
    <dataField name="Sum of Total Sales" fld="5" baseField="0" baseItem="0"/>
  </dataFields>
  <chartFormats count="2">
    <chartFormat chart="7" format="2"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A404E87-6BCF-4ACF-806D-76616825D1B6}" name="state"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location ref="G14:H21" firstHeaderRow="1" firstDataRow="1" firstDataCol="1"/>
  <pivotFields count="10">
    <pivotField showAll="0">
      <items count="13">
        <item x="0"/>
        <item x="1"/>
        <item x="2"/>
        <item x="3"/>
        <item x="4"/>
        <item x="5"/>
        <item x="6"/>
        <item x="7"/>
        <item x="8"/>
        <item x="9"/>
        <item x="10"/>
        <item x="11"/>
        <item t="default"/>
      </items>
    </pivotField>
    <pivotField showAll="0">
      <items count="5">
        <item h="1" x="2"/>
        <item x="0"/>
        <item h="1" x="1"/>
        <item h="1" x="3"/>
        <item t="default"/>
      </items>
    </pivotField>
    <pivotField axis="axisRow" showAll="0">
      <items count="23">
        <item x="11"/>
        <item x="18"/>
        <item x="12"/>
        <item x="21"/>
        <item x="19"/>
        <item x="0"/>
        <item x="15"/>
        <item x="7"/>
        <item x="8"/>
        <item x="13"/>
        <item x="2"/>
        <item x="10"/>
        <item x="14"/>
        <item x="6"/>
        <item x="5"/>
        <item x="1"/>
        <item x="16"/>
        <item x="3"/>
        <item x="17"/>
        <item x="9"/>
        <item x="20"/>
        <item x="4"/>
        <item t="default"/>
      </items>
    </pivotField>
    <pivotField showAll="0">
      <items count="4">
        <item x="0"/>
        <item x="1"/>
        <item x="2"/>
        <item t="default"/>
      </items>
    </pivotField>
    <pivotField showAll="0"/>
    <pivotField numFmtId="3" showAll="0"/>
    <pivotField showAll="0"/>
    <pivotField showAll="0"/>
    <pivotField dataField="1" numFmtId="3" showAll="0">
      <items count="26">
        <item x="22"/>
        <item x="19"/>
        <item x="20"/>
        <item x="13"/>
        <item x="21"/>
        <item x="14"/>
        <item x="9"/>
        <item x="10"/>
        <item x="18"/>
        <item x="12"/>
        <item x="8"/>
        <item x="15"/>
        <item x="16"/>
        <item x="17"/>
        <item x="11"/>
        <item x="5"/>
        <item x="1"/>
        <item x="7"/>
        <item x="3"/>
        <item x="4"/>
        <item x="6"/>
        <item x="0"/>
        <item x="2"/>
        <item x="23"/>
        <item x="24"/>
        <item t="default"/>
      </items>
    </pivotField>
    <pivotField showAll="0"/>
  </pivotFields>
  <rowFields count="1">
    <field x="2"/>
  </rowFields>
  <rowItems count="7">
    <i>
      <x v="5"/>
    </i>
    <i>
      <x v="8"/>
    </i>
    <i>
      <x v="15"/>
    </i>
    <i>
      <x v="16"/>
    </i>
    <i>
      <x v="19"/>
    </i>
    <i>
      <x v="20"/>
    </i>
    <i t="grand">
      <x/>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C300F69-80B0-4DE8-BBAC-06CD988D6B6A}" sourceName="Region">
  <pivotTables>
    <pivotTable tabId="2" name="product"/>
    <pivotTable tabId="2" name="CATEGORY"/>
    <pivotTable tabId="2" name="MONTHS"/>
    <pivotTable tabId="2" name="PivotTable10"/>
    <pivotTable tabId="2" name="PivotTable6"/>
    <pivotTable tabId="2" name="PivotTable7"/>
    <pivotTable tabId="2" name="PivotTable8"/>
    <pivotTable tabId="2" name="PivotTable9"/>
    <pivotTable tabId="2" name="REGION"/>
    <pivotTable tabId="2" name="state"/>
  </pivotTables>
  <data>
    <tabular pivotCacheId="1948653688">
      <items count="4">
        <i x="2"/>
        <i x="0" s="1"/>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5AEABAA-F1E3-4D95-89B3-1DD6873BF896}"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30D8505-18E7-482A-8A2F-CC74399D0258}" name="Table3" displayName="Table3" ref="J18:K40" totalsRowShown="0">
  <autoFilter ref="J18:K40" xr:uid="{B30D8505-18E7-482A-8A2F-CC74399D0258}"/>
  <tableColumns count="2">
    <tableColumn id="1" xr3:uid="{8C1AD6F6-ED76-4710-B957-529D44F24D9B}" name="Column1" dataDxfId="1"/>
    <tableColumn id="2" xr3:uid="{E6CB6F25-590E-41EF-B92E-FCF8E581FB87}" name="Column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DA288-B632-4438-A14A-344BCC3627E8}">
  <dimension ref="A1:J27"/>
  <sheetViews>
    <sheetView zoomScale="83" zoomScaleNormal="83" workbookViewId="0">
      <selection activeCell="B30" sqref="B30"/>
    </sheetView>
  </sheetViews>
  <sheetFormatPr defaultRowHeight="14.4" x14ac:dyDescent="0.3"/>
  <cols>
    <col min="1" max="10" width="19.77734375" customWidth="1"/>
  </cols>
  <sheetData>
    <row r="1" spans="1:10" ht="43.2" x14ac:dyDescent="0.3">
      <c r="A1" s="7" t="s">
        <v>0</v>
      </c>
      <c r="B1" s="8" t="s">
        <v>1</v>
      </c>
      <c r="C1" s="8" t="s">
        <v>2</v>
      </c>
      <c r="D1" s="8" t="s">
        <v>3</v>
      </c>
      <c r="E1" s="8" t="s">
        <v>4</v>
      </c>
      <c r="F1" s="9" t="s">
        <v>5</v>
      </c>
      <c r="G1" s="9" t="s">
        <v>6</v>
      </c>
      <c r="H1" s="9" t="s">
        <v>7</v>
      </c>
      <c r="I1" s="9" t="s">
        <v>8</v>
      </c>
      <c r="J1" s="10" t="s">
        <v>9</v>
      </c>
    </row>
    <row r="2" spans="1:10" ht="28.8" x14ac:dyDescent="0.3">
      <c r="A2" s="11" t="s">
        <v>10</v>
      </c>
      <c r="B2" s="12" t="s">
        <v>11</v>
      </c>
      <c r="C2" s="12" t="s">
        <v>12</v>
      </c>
      <c r="D2" s="12" t="s">
        <v>13</v>
      </c>
      <c r="E2" s="12" t="s">
        <v>14</v>
      </c>
      <c r="F2" s="13">
        <v>52000</v>
      </c>
      <c r="G2" s="14">
        <v>105</v>
      </c>
      <c r="H2" s="14">
        <v>105</v>
      </c>
      <c r="I2" s="13">
        <v>10400</v>
      </c>
      <c r="J2" s="15">
        <v>495</v>
      </c>
    </row>
    <row r="3" spans="1:10" ht="28.8" x14ac:dyDescent="0.3">
      <c r="A3" s="16" t="s">
        <v>10</v>
      </c>
      <c r="B3" s="17" t="s">
        <v>11</v>
      </c>
      <c r="C3" s="17" t="s">
        <v>15</v>
      </c>
      <c r="D3" s="17" t="s">
        <v>13</v>
      </c>
      <c r="E3" s="17" t="s">
        <v>16</v>
      </c>
      <c r="F3" s="18">
        <v>41500</v>
      </c>
      <c r="G3" s="19">
        <v>220</v>
      </c>
      <c r="H3" s="19">
        <v>220</v>
      </c>
      <c r="I3" s="18">
        <v>8300</v>
      </c>
      <c r="J3" s="20">
        <v>189</v>
      </c>
    </row>
    <row r="4" spans="1:10" ht="28.8" x14ac:dyDescent="0.3">
      <c r="A4" s="11" t="s">
        <v>10</v>
      </c>
      <c r="B4" s="12" t="s">
        <v>17</v>
      </c>
      <c r="C4" s="12" t="s">
        <v>18</v>
      </c>
      <c r="D4" s="12" t="s">
        <v>13</v>
      </c>
      <c r="E4" s="12" t="s">
        <v>14</v>
      </c>
      <c r="F4" s="13">
        <v>54000</v>
      </c>
      <c r="G4" s="14">
        <v>108</v>
      </c>
      <c r="H4" s="14">
        <v>108</v>
      </c>
      <c r="I4" s="13">
        <v>10800</v>
      </c>
      <c r="J4" s="15">
        <v>500</v>
      </c>
    </row>
    <row r="5" spans="1:10" ht="28.8" x14ac:dyDescent="0.3">
      <c r="A5" s="16" t="s">
        <v>19</v>
      </c>
      <c r="B5" s="17" t="s">
        <v>17</v>
      </c>
      <c r="C5" s="17" t="s">
        <v>20</v>
      </c>
      <c r="D5" s="17" t="s">
        <v>13</v>
      </c>
      <c r="E5" s="17" t="s">
        <v>16</v>
      </c>
      <c r="F5" s="18">
        <v>43800</v>
      </c>
      <c r="G5" s="19">
        <v>225</v>
      </c>
      <c r="H5" s="19">
        <v>225</v>
      </c>
      <c r="I5" s="18">
        <v>8760</v>
      </c>
      <c r="J5" s="20">
        <v>195</v>
      </c>
    </row>
    <row r="6" spans="1:10" x14ac:dyDescent="0.3">
      <c r="A6" s="11" t="s">
        <v>19</v>
      </c>
      <c r="B6" s="12" t="s">
        <v>21</v>
      </c>
      <c r="C6" s="12" t="s">
        <v>22</v>
      </c>
      <c r="D6" s="12" t="s">
        <v>13</v>
      </c>
      <c r="E6" s="12" t="s">
        <v>14</v>
      </c>
      <c r="F6" s="13">
        <v>47500</v>
      </c>
      <c r="G6" s="14">
        <v>98</v>
      </c>
      <c r="H6" s="14">
        <v>98</v>
      </c>
      <c r="I6" s="13">
        <v>9500</v>
      </c>
      <c r="J6" s="15">
        <v>485</v>
      </c>
    </row>
    <row r="7" spans="1:10" ht="28.8" x14ac:dyDescent="0.3">
      <c r="A7" s="16" t="s">
        <v>23</v>
      </c>
      <c r="B7" s="17" t="s">
        <v>21</v>
      </c>
      <c r="C7" s="17" t="s">
        <v>24</v>
      </c>
      <c r="D7" s="17" t="s">
        <v>13</v>
      </c>
      <c r="E7" s="17" t="s">
        <v>16</v>
      </c>
      <c r="F7" s="18">
        <v>40200</v>
      </c>
      <c r="G7" s="19">
        <v>210</v>
      </c>
      <c r="H7" s="19">
        <v>210</v>
      </c>
      <c r="I7" s="18">
        <v>8040</v>
      </c>
      <c r="J7" s="20">
        <v>191</v>
      </c>
    </row>
    <row r="8" spans="1:10" ht="28.8" x14ac:dyDescent="0.3">
      <c r="A8" s="11" t="s">
        <v>23</v>
      </c>
      <c r="B8" s="12" t="s">
        <v>25</v>
      </c>
      <c r="C8" s="12" t="s">
        <v>26</v>
      </c>
      <c r="D8" s="12" t="s">
        <v>13</v>
      </c>
      <c r="E8" s="12" t="s">
        <v>14</v>
      </c>
      <c r="F8" s="13">
        <v>50000</v>
      </c>
      <c r="G8" s="14">
        <v>102</v>
      </c>
      <c r="H8" s="14">
        <v>102</v>
      </c>
      <c r="I8" s="13">
        <v>10000</v>
      </c>
      <c r="J8" s="15">
        <v>490</v>
      </c>
    </row>
    <row r="9" spans="1:10" ht="28.8" x14ac:dyDescent="0.3">
      <c r="A9" s="16" t="s">
        <v>27</v>
      </c>
      <c r="B9" s="17" t="s">
        <v>25</v>
      </c>
      <c r="C9" s="17" t="s">
        <v>28</v>
      </c>
      <c r="D9" s="17" t="s">
        <v>13</v>
      </c>
      <c r="E9" s="17" t="s">
        <v>16</v>
      </c>
      <c r="F9" s="18">
        <v>42800</v>
      </c>
      <c r="G9" s="19">
        <v>220</v>
      </c>
      <c r="H9" s="19">
        <v>220</v>
      </c>
      <c r="I9" s="18">
        <v>8560</v>
      </c>
      <c r="J9" s="20">
        <v>194</v>
      </c>
    </row>
    <row r="10" spans="1:10" ht="30.6" customHeight="1" x14ac:dyDescent="0.3">
      <c r="A10" s="11" t="s">
        <v>27</v>
      </c>
      <c r="B10" s="12" t="s">
        <v>11</v>
      </c>
      <c r="C10" s="12" t="s">
        <v>29</v>
      </c>
      <c r="D10" s="12" t="s">
        <v>13</v>
      </c>
      <c r="E10" s="12" t="s">
        <v>30</v>
      </c>
      <c r="F10" s="13">
        <v>24500</v>
      </c>
      <c r="G10" s="14">
        <v>80</v>
      </c>
      <c r="H10" s="14">
        <v>80</v>
      </c>
      <c r="I10" s="13">
        <v>4900</v>
      </c>
      <c r="J10" s="15">
        <v>306</v>
      </c>
    </row>
    <row r="11" spans="1:10" ht="30.6" customHeight="1" x14ac:dyDescent="0.3">
      <c r="A11" s="16" t="s">
        <v>31</v>
      </c>
      <c r="B11" s="17" t="s">
        <v>11</v>
      </c>
      <c r="C11" s="17" t="s">
        <v>32</v>
      </c>
      <c r="D11" s="17" t="s">
        <v>33</v>
      </c>
      <c r="E11" s="17" t="s">
        <v>34</v>
      </c>
      <c r="F11" s="18">
        <v>20800</v>
      </c>
      <c r="G11" s="19">
        <v>195</v>
      </c>
      <c r="H11" s="19">
        <v>195</v>
      </c>
      <c r="I11" s="18">
        <v>3640</v>
      </c>
      <c r="J11" s="20">
        <v>107</v>
      </c>
    </row>
    <row r="12" spans="1:10" ht="30.6" customHeight="1" x14ac:dyDescent="0.3">
      <c r="A12" s="11" t="s">
        <v>31</v>
      </c>
      <c r="B12" s="12" t="s">
        <v>17</v>
      </c>
      <c r="C12" s="12" t="s">
        <v>35</v>
      </c>
      <c r="D12" s="12" t="s">
        <v>33</v>
      </c>
      <c r="E12" s="12" t="s">
        <v>34</v>
      </c>
      <c r="F12" s="13">
        <v>21500</v>
      </c>
      <c r="G12" s="14">
        <v>200</v>
      </c>
      <c r="H12" s="14">
        <v>200</v>
      </c>
      <c r="I12" s="13">
        <v>3760</v>
      </c>
      <c r="J12" s="15">
        <v>108</v>
      </c>
    </row>
    <row r="13" spans="1:10" ht="30.6" customHeight="1" x14ac:dyDescent="0.3">
      <c r="A13" s="16" t="s">
        <v>36</v>
      </c>
      <c r="B13" s="17" t="s">
        <v>17</v>
      </c>
      <c r="C13" s="17" t="s">
        <v>37</v>
      </c>
      <c r="D13" s="17" t="s">
        <v>33</v>
      </c>
      <c r="E13" s="17" t="s">
        <v>38</v>
      </c>
      <c r="F13" s="18">
        <v>28000</v>
      </c>
      <c r="G13" s="19">
        <v>92</v>
      </c>
      <c r="H13" s="19">
        <v>92</v>
      </c>
      <c r="I13" s="18">
        <v>5400</v>
      </c>
      <c r="J13" s="20">
        <v>304</v>
      </c>
    </row>
    <row r="14" spans="1:10" ht="30.6" customHeight="1" x14ac:dyDescent="0.3">
      <c r="A14" s="11" t="s">
        <v>36</v>
      </c>
      <c r="B14" s="12" t="s">
        <v>21</v>
      </c>
      <c r="C14" s="12" t="s">
        <v>39</v>
      </c>
      <c r="D14" s="12" t="s">
        <v>13</v>
      </c>
      <c r="E14" s="12" t="s">
        <v>30</v>
      </c>
      <c r="F14" s="13">
        <v>23600</v>
      </c>
      <c r="G14" s="14">
        <v>76</v>
      </c>
      <c r="H14" s="14">
        <v>76</v>
      </c>
      <c r="I14" s="13">
        <v>4720</v>
      </c>
      <c r="J14" s="15">
        <v>311</v>
      </c>
    </row>
    <row r="15" spans="1:10" ht="30.6" customHeight="1" x14ac:dyDescent="0.3">
      <c r="A15" s="16" t="s">
        <v>40</v>
      </c>
      <c r="B15" s="17" t="s">
        <v>21</v>
      </c>
      <c r="C15" s="17" t="s">
        <v>41</v>
      </c>
      <c r="D15" s="17" t="s">
        <v>33</v>
      </c>
      <c r="E15" s="17" t="s">
        <v>34</v>
      </c>
      <c r="F15" s="18">
        <v>18900</v>
      </c>
      <c r="G15" s="19">
        <v>180</v>
      </c>
      <c r="H15" s="19">
        <v>180</v>
      </c>
      <c r="I15" s="18">
        <v>3300</v>
      </c>
      <c r="J15" s="20">
        <v>105</v>
      </c>
    </row>
    <row r="16" spans="1:10" ht="30.6" customHeight="1" x14ac:dyDescent="0.3">
      <c r="A16" s="11" t="s">
        <v>40</v>
      </c>
      <c r="B16" s="12" t="s">
        <v>25</v>
      </c>
      <c r="C16" s="12" t="s">
        <v>42</v>
      </c>
      <c r="D16" s="12" t="s">
        <v>33</v>
      </c>
      <c r="E16" s="12" t="s">
        <v>34</v>
      </c>
      <c r="F16" s="13">
        <v>20100</v>
      </c>
      <c r="G16" s="14">
        <v>188</v>
      </c>
      <c r="H16" s="14">
        <v>188</v>
      </c>
      <c r="I16" s="13">
        <v>3520</v>
      </c>
      <c r="J16" s="15">
        <v>107</v>
      </c>
    </row>
    <row r="17" spans="1:10" ht="30.6" customHeight="1" x14ac:dyDescent="0.3">
      <c r="A17" s="16" t="s">
        <v>43</v>
      </c>
      <c r="B17" s="17" t="s">
        <v>25</v>
      </c>
      <c r="C17" s="17" t="s">
        <v>44</v>
      </c>
      <c r="D17" s="17" t="s">
        <v>33</v>
      </c>
      <c r="E17" s="17" t="s">
        <v>38</v>
      </c>
      <c r="F17" s="18">
        <v>25900</v>
      </c>
      <c r="G17" s="19">
        <v>86</v>
      </c>
      <c r="H17" s="19">
        <v>86</v>
      </c>
      <c r="I17" s="18">
        <v>4920</v>
      </c>
      <c r="J17" s="20">
        <v>301</v>
      </c>
    </row>
    <row r="18" spans="1:10" ht="30.6" customHeight="1" x14ac:dyDescent="0.3">
      <c r="A18" s="11" t="s">
        <v>43</v>
      </c>
      <c r="B18" s="12" t="s">
        <v>11</v>
      </c>
      <c r="C18" s="12" t="s">
        <v>45</v>
      </c>
      <c r="D18" s="12" t="s">
        <v>33</v>
      </c>
      <c r="E18" s="12" t="s">
        <v>38</v>
      </c>
      <c r="F18" s="13">
        <v>26700</v>
      </c>
      <c r="G18" s="14">
        <v>88</v>
      </c>
      <c r="H18" s="14">
        <v>88</v>
      </c>
      <c r="I18" s="13">
        <v>5070</v>
      </c>
      <c r="J18" s="15">
        <v>303</v>
      </c>
    </row>
    <row r="19" spans="1:10" ht="30.6" customHeight="1" x14ac:dyDescent="0.3">
      <c r="A19" s="16" t="s">
        <v>46</v>
      </c>
      <c r="B19" s="17" t="s">
        <v>17</v>
      </c>
      <c r="C19" s="17" t="s">
        <v>47</v>
      </c>
      <c r="D19" s="17" t="s">
        <v>13</v>
      </c>
      <c r="E19" s="17" t="s">
        <v>30</v>
      </c>
      <c r="F19" s="18">
        <v>26400</v>
      </c>
      <c r="G19" s="19">
        <v>86</v>
      </c>
      <c r="H19" s="19">
        <v>86</v>
      </c>
      <c r="I19" s="18">
        <v>5280</v>
      </c>
      <c r="J19" s="20">
        <v>307</v>
      </c>
    </row>
    <row r="20" spans="1:10" ht="30.6" customHeight="1" x14ac:dyDescent="0.3">
      <c r="A20" s="11" t="s">
        <v>46</v>
      </c>
      <c r="B20" s="12" t="s">
        <v>21</v>
      </c>
      <c r="C20" s="12" t="s">
        <v>48</v>
      </c>
      <c r="D20" s="12" t="s">
        <v>33</v>
      </c>
      <c r="E20" s="12" t="s">
        <v>38</v>
      </c>
      <c r="F20" s="13">
        <v>24800</v>
      </c>
      <c r="G20" s="14">
        <v>82</v>
      </c>
      <c r="H20" s="14">
        <v>82</v>
      </c>
      <c r="I20" s="13">
        <v>4710</v>
      </c>
      <c r="J20" s="15">
        <v>302</v>
      </c>
    </row>
    <row r="21" spans="1:10" ht="30.6" customHeight="1" x14ac:dyDescent="0.3">
      <c r="A21" s="16" t="s">
        <v>49</v>
      </c>
      <c r="B21" s="17" t="s">
        <v>25</v>
      </c>
      <c r="C21" s="17" t="s">
        <v>50</v>
      </c>
      <c r="D21" s="17" t="s">
        <v>51</v>
      </c>
      <c r="E21" s="17" t="s">
        <v>52</v>
      </c>
      <c r="F21" s="18">
        <v>18200</v>
      </c>
      <c r="G21" s="19">
        <v>60</v>
      </c>
      <c r="H21" s="19">
        <v>60</v>
      </c>
      <c r="I21" s="18">
        <v>3060</v>
      </c>
      <c r="J21" s="20">
        <v>303</v>
      </c>
    </row>
    <row r="22" spans="1:10" ht="30.6" customHeight="1" x14ac:dyDescent="0.3">
      <c r="A22" s="11" t="s">
        <v>49</v>
      </c>
      <c r="B22" s="12" t="s">
        <v>11</v>
      </c>
      <c r="C22" s="12" t="s">
        <v>53</v>
      </c>
      <c r="D22" s="12" t="s">
        <v>51</v>
      </c>
      <c r="E22" s="12" t="s">
        <v>52</v>
      </c>
      <c r="F22" s="13">
        <v>19000</v>
      </c>
      <c r="G22" s="14">
        <v>62</v>
      </c>
      <c r="H22" s="14">
        <v>62</v>
      </c>
      <c r="I22" s="13">
        <v>3200</v>
      </c>
      <c r="J22" s="15">
        <v>306</v>
      </c>
    </row>
    <row r="23" spans="1:10" ht="26.4" customHeight="1" x14ac:dyDescent="0.3">
      <c r="A23" s="16" t="s">
        <v>54</v>
      </c>
      <c r="B23" s="17" t="s">
        <v>17</v>
      </c>
      <c r="C23" s="17" t="s">
        <v>44</v>
      </c>
      <c r="D23" s="17" t="s">
        <v>51</v>
      </c>
      <c r="E23" s="17" t="s">
        <v>52</v>
      </c>
      <c r="F23" s="18">
        <v>20500</v>
      </c>
      <c r="G23" s="19">
        <v>67</v>
      </c>
      <c r="H23" s="19">
        <v>67</v>
      </c>
      <c r="I23" s="18">
        <v>3440</v>
      </c>
      <c r="J23" s="20">
        <v>306</v>
      </c>
    </row>
    <row r="24" spans="1:10" ht="26.4" customHeight="1" x14ac:dyDescent="0.3">
      <c r="A24" s="11" t="s">
        <v>54</v>
      </c>
      <c r="B24" s="12" t="s">
        <v>21</v>
      </c>
      <c r="C24" s="12" t="s">
        <v>55</v>
      </c>
      <c r="D24" s="12" t="s">
        <v>51</v>
      </c>
      <c r="E24" s="12" t="s">
        <v>52</v>
      </c>
      <c r="F24" s="13">
        <v>17800</v>
      </c>
      <c r="G24" s="14">
        <v>58</v>
      </c>
      <c r="H24" s="14">
        <v>58</v>
      </c>
      <c r="I24" s="13">
        <v>2990</v>
      </c>
      <c r="J24" s="15">
        <v>307</v>
      </c>
    </row>
    <row r="25" spans="1:10" ht="26.4" customHeight="1" x14ac:dyDescent="0.3">
      <c r="A25" s="16" t="s">
        <v>56</v>
      </c>
      <c r="B25" s="17" t="s">
        <v>25</v>
      </c>
      <c r="C25" s="17" t="s">
        <v>26</v>
      </c>
      <c r="D25" s="17" t="s">
        <v>13</v>
      </c>
      <c r="E25" s="17" t="s">
        <v>14</v>
      </c>
      <c r="F25" s="18">
        <v>56000</v>
      </c>
      <c r="G25" s="19">
        <v>113</v>
      </c>
      <c r="H25" s="19">
        <v>113</v>
      </c>
      <c r="I25" s="18">
        <v>11200</v>
      </c>
      <c r="J25" s="20">
        <v>496</v>
      </c>
    </row>
    <row r="26" spans="1:10" x14ac:dyDescent="0.3">
      <c r="A26" s="21" t="s">
        <v>56</v>
      </c>
      <c r="B26" s="22" t="s">
        <v>17</v>
      </c>
      <c r="C26" s="22" t="s">
        <v>18</v>
      </c>
      <c r="D26" s="22" t="s">
        <v>13</v>
      </c>
      <c r="E26" s="22" t="s">
        <v>14</v>
      </c>
      <c r="F26" s="23">
        <v>58000</v>
      </c>
      <c r="G26" s="24">
        <v>116</v>
      </c>
      <c r="H26" s="24">
        <v>116</v>
      </c>
      <c r="I26" s="23">
        <v>11600</v>
      </c>
      <c r="J26" s="25">
        <v>500</v>
      </c>
    </row>
    <row r="27" spans="1:10" x14ac:dyDescent="0.3">
      <c r="A27" s="2"/>
      <c r="B27" s="2"/>
      <c r="C27" s="2"/>
      <c r="D27" s="2"/>
      <c r="E27" s="2"/>
      <c r="F27" s="3"/>
      <c r="G27" s="3"/>
      <c r="H27" s="3"/>
      <c r="I27" s="3"/>
      <c r="J27"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797AF-A232-48F8-A448-7B29A10311FB}">
  <dimension ref="A3:K40"/>
  <sheetViews>
    <sheetView workbookViewId="0">
      <selection activeCell="B24" sqref="B24"/>
    </sheetView>
  </sheetViews>
  <sheetFormatPr defaultRowHeight="14.4" x14ac:dyDescent="0.3"/>
  <cols>
    <col min="1" max="1" width="12.5546875" bestFit="1" customWidth="1"/>
    <col min="2" max="2" width="12.109375" bestFit="1" customWidth="1"/>
    <col min="4" max="4" width="12.5546875" bestFit="1" customWidth="1"/>
    <col min="5" max="5" width="16.44140625" bestFit="1" customWidth="1"/>
    <col min="6" max="6" width="12.109375" bestFit="1" customWidth="1"/>
    <col min="7" max="7" width="12.5546875" bestFit="1" customWidth="1"/>
    <col min="8" max="9" width="12.109375" bestFit="1" customWidth="1"/>
    <col min="10" max="10" width="14.44140625" bestFit="1" customWidth="1"/>
    <col min="11" max="11" width="13.109375" bestFit="1" customWidth="1"/>
  </cols>
  <sheetData>
    <row r="3" spans="1:10" x14ac:dyDescent="0.3">
      <c r="A3" s="4" t="s">
        <v>58</v>
      </c>
      <c r="B3" t="s">
        <v>59</v>
      </c>
      <c r="D3" s="4" t="s">
        <v>58</v>
      </c>
      <c r="E3" t="s">
        <v>61</v>
      </c>
      <c r="G3" s="4" t="s">
        <v>58</v>
      </c>
      <c r="H3" t="s">
        <v>61</v>
      </c>
      <c r="J3" t="s">
        <v>61</v>
      </c>
    </row>
    <row r="4" spans="1:10" x14ac:dyDescent="0.3">
      <c r="A4" s="5" t="s">
        <v>10</v>
      </c>
      <c r="B4" s="36">
        <v>18700</v>
      </c>
      <c r="D4" s="5" t="s">
        <v>11</v>
      </c>
      <c r="E4" s="36">
        <v>184500</v>
      </c>
      <c r="G4" s="5" t="s">
        <v>34</v>
      </c>
      <c r="H4" s="36">
        <v>20800</v>
      </c>
      <c r="J4" s="6">
        <v>184500</v>
      </c>
    </row>
    <row r="5" spans="1:10" x14ac:dyDescent="0.3">
      <c r="A5" s="5" t="s">
        <v>27</v>
      </c>
      <c r="B5" s="36">
        <v>4900</v>
      </c>
      <c r="D5" s="5" t="s">
        <v>57</v>
      </c>
      <c r="E5" s="36">
        <v>184500</v>
      </c>
      <c r="G5" s="5" t="s">
        <v>14</v>
      </c>
      <c r="H5" s="36">
        <v>52000</v>
      </c>
    </row>
    <row r="6" spans="1:10" x14ac:dyDescent="0.3">
      <c r="A6" s="5" t="s">
        <v>31</v>
      </c>
      <c r="B6" s="36">
        <v>3640</v>
      </c>
      <c r="G6" s="5" t="s">
        <v>16</v>
      </c>
      <c r="H6" s="36">
        <v>41500</v>
      </c>
    </row>
    <row r="7" spans="1:10" x14ac:dyDescent="0.3">
      <c r="A7" s="5" t="s">
        <v>43</v>
      </c>
      <c r="B7" s="36">
        <v>5070</v>
      </c>
      <c r="G7" s="5" t="s">
        <v>52</v>
      </c>
      <c r="H7" s="36">
        <v>19000</v>
      </c>
      <c r="J7" t="s">
        <v>59</v>
      </c>
    </row>
    <row r="8" spans="1:10" x14ac:dyDescent="0.3">
      <c r="A8" s="5" t="s">
        <v>49</v>
      </c>
      <c r="B8" s="36">
        <v>3200</v>
      </c>
      <c r="G8" s="5" t="s">
        <v>38</v>
      </c>
      <c r="H8" s="36">
        <v>26700</v>
      </c>
      <c r="J8" s="6">
        <v>35510</v>
      </c>
    </row>
    <row r="9" spans="1:10" x14ac:dyDescent="0.3">
      <c r="A9" s="5" t="s">
        <v>57</v>
      </c>
      <c r="B9" s="36">
        <v>35510</v>
      </c>
      <c r="G9" s="5" t="s">
        <v>30</v>
      </c>
      <c r="H9" s="36">
        <v>24500</v>
      </c>
    </row>
    <row r="10" spans="1:10" x14ac:dyDescent="0.3">
      <c r="G10" s="5" t="s">
        <v>57</v>
      </c>
      <c r="H10" s="36">
        <v>184500</v>
      </c>
    </row>
    <row r="11" spans="1:10" x14ac:dyDescent="0.3">
      <c r="J11" t="s">
        <v>62</v>
      </c>
    </row>
    <row r="12" spans="1:10" x14ac:dyDescent="0.3">
      <c r="D12" s="4" t="s">
        <v>58</v>
      </c>
      <c r="E12" t="s">
        <v>61</v>
      </c>
      <c r="J12" s="36">
        <v>6</v>
      </c>
    </row>
    <row r="13" spans="1:10" x14ac:dyDescent="0.3">
      <c r="D13" s="5" t="s">
        <v>13</v>
      </c>
      <c r="E13" s="36">
        <v>118000</v>
      </c>
    </row>
    <row r="14" spans="1:10" x14ac:dyDescent="0.3">
      <c r="D14" s="5" t="s">
        <v>33</v>
      </c>
      <c r="E14" s="36">
        <v>47500</v>
      </c>
      <c r="G14" s="4" t="s">
        <v>58</v>
      </c>
      <c r="H14" t="s">
        <v>59</v>
      </c>
      <c r="J14" t="s">
        <v>63</v>
      </c>
    </row>
    <row r="15" spans="1:10" x14ac:dyDescent="0.3">
      <c r="D15" s="5" t="s">
        <v>51</v>
      </c>
      <c r="E15" s="36">
        <v>19000</v>
      </c>
      <c r="G15" s="5" t="s">
        <v>12</v>
      </c>
      <c r="H15" s="36">
        <v>10400</v>
      </c>
      <c r="J15" s="6">
        <v>30750</v>
      </c>
    </row>
    <row r="16" spans="1:10" x14ac:dyDescent="0.3">
      <c r="D16" s="5" t="s">
        <v>57</v>
      </c>
      <c r="E16" s="36">
        <v>184500</v>
      </c>
      <c r="G16" s="5" t="s">
        <v>29</v>
      </c>
      <c r="H16" s="36">
        <v>4900</v>
      </c>
    </row>
    <row r="17" spans="4:11" x14ac:dyDescent="0.3">
      <c r="G17" s="5" t="s">
        <v>15</v>
      </c>
      <c r="H17" s="36">
        <v>8300</v>
      </c>
    </row>
    <row r="18" spans="4:11" x14ac:dyDescent="0.3">
      <c r="G18" s="5" t="s">
        <v>45</v>
      </c>
      <c r="H18" s="36">
        <v>5070</v>
      </c>
      <c r="J18" s="5" t="s">
        <v>64</v>
      </c>
      <c r="K18" t="s">
        <v>65</v>
      </c>
    </row>
    <row r="19" spans="4:11" x14ac:dyDescent="0.3">
      <c r="G19" s="5" t="s">
        <v>32</v>
      </c>
      <c r="H19" s="36">
        <v>3640</v>
      </c>
      <c r="J19" s="5" t="s">
        <v>37</v>
      </c>
      <c r="K19">
        <v>5400</v>
      </c>
    </row>
    <row r="20" spans="4:11" x14ac:dyDescent="0.3">
      <c r="D20" s="4" t="s">
        <v>58</v>
      </c>
      <c r="E20" t="s">
        <v>59</v>
      </c>
      <c r="G20" s="5" t="s">
        <v>53</v>
      </c>
      <c r="H20" s="36">
        <v>3200</v>
      </c>
      <c r="J20" s="5" t="s">
        <v>48</v>
      </c>
      <c r="K20">
        <v>4710</v>
      </c>
    </row>
    <row r="21" spans="4:11" x14ac:dyDescent="0.3">
      <c r="D21" s="5" t="s">
        <v>11</v>
      </c>
      <c r="E21" s="36">
        <v>35510</v>
      </c>
      <c r="G21" s="5" t="s">
        <v>57</v>
      </c>
      <c r="H21" s="36">
        <v>35510</v>
      </c>
      <c r="J21" s="5" t="s">
        <v>39</v>
      </c>
      <c r="K21">
        <v>4720</v>
      </c>
    </row>
    <row r="22" spans="4:11" x14ac:dyDescent="0.3">
      <c r="D22" s="5" t="s">
        <v>57</v>
      </c>
      <c r="E22" s="36">
        <v>35510</v>
      </c>
      <c r="J22" s="5" t="s">
        <v>55</v>
      </c>
      <c r="K22">
        <v>2990</v>
      </c>
    </row>
    <row r="23" spans="4:11" x14ac:dyDescent="0.3">
      <c r="J23" s="5" t="s">
        <v>50</v>
      </c>
      <c r="K23">
        <v>3060</v>
      </c>
    </row>
    <row r="24" spans="4:11" x14ac:dyDescent="0.3">
      <c r="J24" s="5" t="s">
        <v>12</v>
      </c>
      <c r="K24">
        <v>10400</v>
      </c>
    </row>
    <row r="25" spans="4:11" x14ac:dyDescent="0.3">
      <c r="J25" s="5" t="s">
        <v>44</v>
      </c>
      <c r="K25">
        <v>8360</v>
      </c>
    </row>
    <row r="26" spans="4:11" x14ac:dyDescent="0.3">
      <c r="J26" s="5" t="s">
        <v>28</v>
      </c>
      <c r="K26">
        <v>8560</v>
      </c>
    </row>
    <row r="27" spans="4:11" x14ac:dyDescent="0.3">
      <c r="J27" s="5" t="s">
        <v>29</v>
      </c>
      <c r="K27">
        <v>4900</v>
      </c>
    </row>
    <row r="28" spans="4:11" x14ac:dyDescent="0.3">
      <c r="J28" s="5" t="s">
        <v>41</v>
      </c>
      <c r="K28">
        <v>3300</v>
      </c>
    </row>
    <row r="29" spans="4:11" x14ac:dyDescent="0.3">
      <c r="J29" s="5" t="s">
        <v>18</v>
      </c>
      <c r="K29">
        <v>22400</v>
      </c>
    </row>
    <row r="30" spans="4:11" x14ac:dyDescent="0.3">
      <c r="J30" s="5" t="s">
        <v>35</v>
      </c>
      <c r="K30">
        <v>3760</v>
      </c>
    </row>
    <row r="31" spans="4:11" x14ac:dyDescent="0.3">
      <c r="J31" s="5" t="s">
        <v>42</v>
      </c>
      <c r="K31">
        <v>3520</v>
      </c>
    </row>
    <row r="32" spans="4:11" x14ac:dyDescent="0.3">
      <c r="J32" s="5" t="s">
        <v>26</v>
      </c>
      <c r="K32">
        <v>21200</v>
      </c>
    </row>
    <row r="33" spans="10:11" x14ac:dyDescent="0.3">
      <c r="J33" s="5" t="s">
        <v>24</v>
      </c>
      <c r="K33">
        <v>8040</v>
      </c>
    </row>
    <row r="34" spans="10:11" x14ac:dyDescent="0.3">
      <c r="J34" s="5" t="s">
        <v>15</v>
      </c>
      <c r="K34">
        <v>8300</v>
      </c>
    </row>
    <row r="35" spans="10:11" x14ac:dyDescent="0.3">
      <c r="J35" s="5" t="s">
        <v>45</v>
      </c>
      <c r="K35">
        <v>5070</v>
      </c>
    </row>
    <row r="36" spans="10:11" x14ac:dyDescent="0.3">
      <c r="J36" s="5" t="s">
        <v>20</v>
      </c>
      <c r="K36">
        <v>8760</v>
      </c>
    </row>
    <row r="37" spans="10:11" x14ac:dyDescent="0.3">
      <c r="J37" s="5" t="s">
        <v>47</v>
      </c>
      <c r="K37">
        <v>5280</v>
      </c>
    </row>
    <row r="38" spans="10:11" x14ac:dyDescent="0.3">
      <c r="J38" s="5" t="s">
        <v>32</v>
      </c>
      <c r="K38">
        <v>3640</v>
      </c>
    </row>
    <row r="39" spans="10:11" x14ac:dyDescent="0.3">
      <c r="J39" s="5" t="s">
        <v>53</v>
      </c>
      <c r="K39">
        <v>3200</v>
      </c>
    </row>
    <row r="40" spans="10:11" x14ac:dyDescent="0.3">
      <c r="J40" s="5" t="s">
        <v>22</v>
      </c>
      <c r="K40">
        <v>9500</v>
      </c>
    </row>
  </sheetData>
  <pageMargins left="0.7" right="0.7" top="0.75" bottom="0.75" header="0.3" footer="0.3"/>
  <drawing r:id="rId11"/>
  <tableParts count="1">
    <tablePart r:id="rId1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0B75B-4872-4C4D-A20B-F4D0F0B4F2B5}">
  <dimension ref="C2:AA34"/>
  <sheetViews>
    <sheetView showGridLines="0" tabSelected="1" topLeftCell="D1" zoomScale="98" zoomScaleNormal="131" workbookViewId="0">
      <selection activeCell="W42" sqref="W42"/>
    </sheetView>
  </sheetViews>
  <sheetFormatPr defaultRowHeight="14.4" x14ac:dyDescent="0.3"/>
  <sheetData>
    <row r="2" spans="3:27" x14ac:dyDescent="0.3">
      <c r="C2" s="26" t="s">
        <v>60</v>
      </c>
      <c r="D2" s="26"/>
      <c r="E2" s="26"/>
      <c r="F2" s="26"/>
      <c r="G2" s="26"/>
      <c r="H2" s="26"/>
      <c r="I2" s="26"/>
      <c r="J2" s="26"/>
      <c r="K2" s="26"/>
      <c r="L2" s="26"/>
      <c r="M2" s="26"/>
      <c r="N2" s="26"/>
      <c r="O2" s="26"/>
      <c r="P2" s="26"/>
      <c r="Q2" s="26"/>
      <c r="R2" s="26"/>
      <c r="S2" s="26"/>
      <c r="T2" s="26"/>
      <c r="U2" s="26"/>
      <c r="V2" s="26"/>
      <c r="W2" s="26"/>
      <c r="X2" s="26"/>
      <c r="Y2" s="26"/>
      <c r="Z2" s="26"/>
      <c r="AA2" s="26"/>
    </row>
    <row r="3" spans="3:27" x14ac:dyDescent="0.3">
      <c r="C3" s="26"/>
      <c r="D3" s="26"/>
      <c r="E3" s="26"/>
      <c r="F3" s="26"/>
      <c r="G3" s="26"/>
      <c r="H3" s="26"/>
      <c r="I3" s="26"/>
      <c r="J3" s="26"/>
      <c r="K3" s="26"/>
      <c r="L3" s="26"/>
      <c r="M3" s="26"/>
      <c r="N3" s="26"/>
      <c r="O3" s="26"/>
      <c r="P3" s="26"/>
      <c r="Q3" s="26"/>
      <c r="R3" s="26"/>
      <c r="S3" s="26"/>
      <c r="T3" s="26"/>
      <c r="U3" s="26"/>
      <c r="V3" s="26"/>
      <c r="W3" s="26"/>
      <c r="X3" s="26"/>
      <c r="Y3" s="26"/>
      <c r="Z3" s="26"/>
      <c r="AA3" s="26"/>
    </row>
    <row r="4" spans="3:27" x14ac:dyDescent="0.3">
      <c r="C4" s="26"/>
      <c r="D4" s="26"/>
      <c r="E4" s="26"/>
      <c r="F4" s="26"/>
      <c r="G4" s="26"/>
      <c r="H4" s="26"/>
      <c r="I4" s="26"/>
      <c r="J4" s="26"/>
      <c r="K4" s="26"/>
      <c r="L4" s="26"/>
      <c r="M4" s="26"/>
      <c r="N4" s="26"/>
      <c r="O4" s="26"/>
      <c r="P4" s="26"/>
      <c r="Q4" s="26"/>
      <c r="R4" s="26"/>
      <c r="S4" s="26"/>
      <c r="T4" s="26"/>
      <c r="U4" s="26"/>
      <c r="V4" s="26"/>
      <c r="W4" s="26"/>
      <c r="X4" s="26"/>
      <c r="Y4" s="26"/>
      <c r="Z4" s="26"/>
      <c r="AA4" s="26"/>
    </row>
    <row r="5" spans="3:27" x14ac:dyDescent="0.3">
      <c r="C5" s="27"/>
      <c r="D5" s="28"/>
      <c r="E5" s="28"/>
      <c r="F5" s="28"/>
      <c r="G5" s="28"/>
      <c r="H5" s="28"/>
      <c r="I5" s="28"/>
      <c r="J5" s="28"/>
      <c r="K5" s="28"/>
      <c r="L5" s="28"/>
      <c r="M5" s="28"/>
      <c r="N5" s="28"/>
      <c r="O5" s="28"/>
      <c r="P5" s="28"/>
      <c r="Q5" s="28"/>
      <c r="R5" s="28"/>
      <c r="S5" s="28"/>
      <c r="T5" s="28"/>
      <c r="U5" s="28"/>
      <c r="V5" s="28"/>
      <c r="W5" s="28"/>
      <c r="X5" s="28"/>
      <c r="Y5" s="28"/>
      <c r="Z5" s="28"/>
      <c r="AA5" s="29"/>
    </row>
    <row r="6" spans="3:27" x14ac:dyDescent="0.3">
      <c r="C6" s="30"/>
      <c r="D6" s="31"/>
      <c r="E6" s="31"/>
      <c r="F6" s="31"/>
      <c r="G6" s="31"/>
      <c r="H6" s="31"/>
      <c r="I6" s="31"/>
      <c r="J6" s="31"/>
      <c r="K6" s="31"/>
      <c r="L6" s="31"/>
      <c r="M6" s="31"/>
      <c r="N6" s="31"/>
      <c r="O6" s="31"/>
      <c r="P6" s="31"/>
      <c r="Q6" s="31"/>
      <c r="R6" s="31"/>
      <c r="S6" s="31"/>
      <c r="T6" s="31"/>
      <c r="U6" s="31"/>
      <c r="V6" s="31"/>
      <c r="W6" s="31"/>
      <c r="X6" s="31"/>
      <c r="Y6" s="31"/>
      <c r="Z6" s="31"/>
      <c r="AA6" s="32"/>
    </row>
    <row r="7" spans="3:27" x14ac:dyDescent="0.3">
      <c r="C7" s="30"/>
      <c r="D7" s="31"/>
      <c r="E7" s="31"/>
      <c r="F7" s="31"/>
      <c r="G7" s="31"/>
      <c r="H7" s="31"/>
      <c r="I7" s="31"/>
      <c r="J7" s="31"/>
      <c r="K7" s="31"/>
      <c r="L7" s="31"/>
      <c r="M7" s="31"/>
      <c r="N7" s="31"/>
      <c r="O7" s="31"/>
      <c r="P7" s="31"/>
      <c r="Q7" s="31"/>
      <c r="R7" s="31"/>
      <c r="S7" s="31"/>
      <c r="T7" s="31"/>
      <c r="U7" s="31"/>
      <c r="V7" s="31"/>
      <c r="W7" s="31"/>
      <c r="X7" s="31"/>
      <c r="Y7" s="31"/>
      <c r="Z7" s="31"/>
      <c r="AA7" s="32"/>
    </row>
    <row r="8" spans="3:27" x14ac:dyDescent="0.3">
      <c r="C8" s="30"/>
      <c r="D8" s="31"/>
      <c r="E8" s="31"/>
      <c r="F8" s="31"/>
      <c r="G8" s="31"/>
      <c r="H8" s="31"/>
      <c r="I8" s="31"/>
      <c r="J8" s="31"/>
      <c r="K8" s="31"/>
      <c r="L8" s="31"/>
      <c r="M8" s="31"/>
      <c r="N8" s="31"/>
      <c r="O8" s="31"/>
      <c r="P8" s="31"/>
      <c r="Q8" s="31"/>
      <c r="R8" s="31"/>
      <c r="S8" s="31"/>
      <c r="T8" s="31"/>
      <c r="U8" s="31"/>
      <c r="V8" s="31"/>
      <c r="W8" s="31"/>
      <c r="X8" s="31"/>
      <c r="Y8" s="31"/>
      <c r="Z8" s="31"/>
      <c r="AA8" s="32"/>
    </row>
    <row r="9" spans="3:27" x14ac:dyDescent="0.3">
      <c r="C9" s="30"/>
      <c r="D9" s="31"/>
      <c r="E9" s="31"/>
      <c r="F9" s="31"/>
      <c r="G9" s="31"/>
      <c r="H9" s="31"/>
      <c r="I9" s="31"/>
      <c r="J9" s="31"/>
      <c r="K9" s="31"/>
      <c r="L9" s="31"/>
      <c r="M9" s="31"/>
      <c r="N9" s="31"/>
      <c r="O9" s="31"/>
      <c r="P9" s="31"/>
      <c r="Q9" s="31"/>
      <c r="R9" s="31"/>
      <c r="S9" s="31"/>
      <c r="T9" s="31"/>
      <c r="U9" s="31"/>
      <c r="V9" s="31"/>
      <c r="W9" s="31"/>
      <c r="X9" s="31"/>
      <c r="Y9" s="31"/>
      <c r="Z9" s="31"/>
      <c r="AA9" s="32"/>
    </row>
    <row r="10" spans="3:27" x14ac:dyDescent="0.3">
      <c r="C10" s="30"/>
      <c r="D10" s="31"/>
      <c r="E10" s="31"/>
      <c r="F10" s="31"/>
      <c r="G10" s="31"/>
      <c r="H10" s="31"/>
      <c r="I10" s="31"/>
      <c r="J10" s="31"/>
      <c r="K10" s="31"/>
      <c r="L10" s="31"/>
      <c r="M10" s="31"/>
      <c r="N10" s="31"/>
      <c r="O10" s="31"/>
      <c r="P10" s="31"/>
      <c r="Q10" s="31"/>
      <c r="R10" s="31"/>
      <c r="S10" s="31"/>
      <c r="T10" s="31"/>
      <c r="U10" s="31"/>
      <c r="V10" s="31"/>
      <c r="W10" s="31"/>
      <c r="X10" s="31"/>
      <c r="Y10" s="31"/>
      <c r="Z10" s="31"/>
      <c r="AA10" s="32"/>
    </row>
    <row r="11" spans="3:27" x14ac:dyDescent="0.3">
      <c r="C11" s="30"/>
      <c r="D11" s="31"/>
      <c r="E11" s="31"/>
      <c r="F11" s="31"/>
      <c r="G11" s="31"/>
      <c r="H11" s="31"/>
      <c r="I11" s="31"/>
      <c r="J11" s="31"/>
      <c r="K11" s="31"/>
      <c r="L11" s="31"/>
      <c r="M11" s="31"/>
      <c r="N11" s="31"/>
      <c r="O11" s="31"/>
      <c r="P11" s="31"/>
      <c r="Q11" s="31"/>
      <c r="R11" s="31"/>
      <c r="S11" s="31"/>
      <c r="T11" s="31"/>
      <c r="U11" s="31"/>
      <c r="V11" s="31"/>
      <c r="W11" s="31"/>
      <c r="X11" s="31"/>
      <c r="Y11" s="31"/>
      <c r="Z11" s="31"/>
      <c r="AA11" s="32"/>
    </row>
    <row r="12" spans="3:27" x14ac:dyDescent="0.3">
      <c r="C12" s="30"/>
      <c r="D12" s="31"/>
      <c r="E12" s="31"/>
      <c r="F12" s="31"/>
      <c r="G12" s="31"/>
      <c r="H12" s="31"/>
      <c r="I12" s="31"/>
      <c r="J12" s="31"/>
      <c r="K12" s="31"/>
      <c r="L12" s="31"/>
      <c r="M12" s="31"/>
      <c r="N12" s="31"/>
      <c r="O12" s="31"/>
      <c r="P12" s="31"/>
      <c r="Q12" s="31"/>
      <c r="R12" s="31"/>
      <c r="S12" s="31"/>
      <c r="T12" s="31"/>
      <c r="U12" s="31"/>
      <c r="V12" s="31"/>
      <c r="W12" s="31"/>
      <c r="X12" s="31"/>
      <c r="Y12" s="31"/>
      <c r="Z12" s="31"/>
      <c r="AA12" s="32"/>
    </row>
    <row r="13" spans="3:27" x14ac:dyDescent="0.3">
      <c r="C13" s="30"/>
      <c r="D13" s="31"/>
      <c r="E13" s="31"/>
      <c r="F13" s="31"/>
      <c r="G13" s="31"/>
      <c r="H13" s="31"/>
      <c r="I13" s="31"/>
      <c r="J13" s="31"/>
      <c r="K13" s="31"/>
      <c r="L13" s="31"/>
      <c r="M13" s="31"/>
      <c r="N13" s="31"/>
      <c r="O13" s="31"/>
      <c r="P13" s="31"/>
      <c r="Q13" s="31"/>
      <c r="R13" s="31"/>
      <c r="S13" s="31"/>
      <c r="T13" s="31"/>
      <c r="U13" s="31"/>
      <c r="V13" s="31"/>
      <c r="W13" s="31"/>
      <c r="X13" s="31"/>
      <c r="Y13" s="31"/>
      <c r="Z13" s="31"/>
      <c r="AA13" s="32"/>
    </row>
    <row r="14" spans="3:27" x14ac:dyDescent="0.3">
      <c r="C14" s="30"/>
      <c r="D14" s="31"/>
      <c r="E14" s="31"/>
      <c r="F14" s="31"/>
      <c r="G14" s="31"/>
      <c r="H14" s="31"/>
      <c r="I14" s="31"/>
      <c r="J14" s="31"/>
      <c r="K14" s="31"/>
      <c r="L14" s="31"/>
      <c r="M14" s="31"/>
      <c r="N14" s="31"/>
      <c r="O14" s="31"/>
      <c r="P14" s="31"/>
      <c r="Q14" s="31"/>
      <c r="R14" s="31"/>
      <c r="S14" s="31"/>
      <c r="T14" s="31"/>
      <c r="U14" s="31"/>
      <c r="V14" s="31"/>
      <c r="W14" s="31"/>
      <c r="X14" s="31"/>
      <c r="Y14" s="31"/>
      <c r="Z14" s="31"/>
      <c r="AA14" s="32"/>
    </row>
    <row r="15" spans="3:27" x14ac:dyDescent="0.3">
      <c r="C15" s="30"/>
      <c r="D15" s="31"/>
      <c r="E15" s="31"/>
      <c r="F15" s="31"/>
      <c r="G15" s="31"/>
      <c r="H15" s="31"/>
      <c r="I15" s="31"/>
      <c r="J15" s="31"/>
      <c r="K15" s="31"/>
      <c r="L15" s="31"/>
      <c r="M15" s="31"/>
      <c r="N15" s="31"/>
      <c r="O15" s="31"/>
      <c r="P15" s="31"/>
      <c r="Q15" s="31"/>
      <c r="R15" s="31"/>
      <c r="S15" s="31"/>
      <c r="T15" s="31"/>
      <c r="U15" s="31"/>
      <c r="V15" s="31"/>
      <c r="W15" s="31"/>
      <c r="X15" s="31"/>
      <c r="Y15" s="31"/>
      <c r="Z15" s="31"/>
      <c r="AA15" s="32"/>
    </row>
    <row r="16" spans="3:27" x14ac:dyDescent="0.3">
      <c r="C16" s="30"/>
      <c r="D16" s="31"/>
      <c r="E16" s="31"/>
      <c r="F16" s="31"/>
      <c r="G16" s="31"/>
      <c r="H16" s="31"/>
      <c r="I16" s="31"/>
      <c r="J16" s="31"/>
      <c r="K16" s="31"/>
      <c r="L16" s="31"/>
      <c r="M16" s="31"/>
      <c r="N16" s="31"/>
      <c r="O16" s="31"/>
      <c r="P16" s="31"/>
      <c r="Q16" s="31"/>
      <c r="R16" s="31"/>
      <c r="S16" s="31"/>
      <c r="T16" s="31"/>
      <c r="U16" s="31"/>
      <c r="V16" s="31"/>
      <c r="W16" s="31"/>
      <c r="X16" s="31"/>
      <c r="Y16" s="31"/>
      <c r="Z16" s="31"/>
      <c r="AA16" s="32"/>
    </row>
    <row r="17" spans="3:27" x14ac:dyDescent="0.3">
      <c r="C17" s="30"/>
      <c r="D17" s="31"/>
      <c r="E17" s="31"/>
      <c r="F17" s="31"/>
      <c r="G17" s="31"/>
      <c r="H17" s="31"/>
      <c r="I17" s="31"/>
      <c r="J17" s="31"/>
      <c r="K17" s="31"/>
      <c r="L17" s="31"/>
      <c r="M17" s="31"/>
      <c r="N17" s="31"/>
      <c r="O17" s="31"/>
      <c r="P17" s="31"/>
      <c r="Q17" s="31"/>
      <c r="R17" s="31"/>
      <c r="S17" s="31"/>
      <c r="T17" s="31"/>
      <c r="U17" s="31"/>
      <c r="V17" s="31"/>
      <c r="W17" s="31"/>
      <c r="X17" s="31"/>
      <c r="Y17" s="31"/>
      <c r="Z17" s="31"/>
      <c r="AA17" s="32"/>
    </row>
    <row r="18" spans="3:27" x14ac:dyDescent="0.3">
      <c r="C18" s="30"/>
      <c r="D18" s="31"/>
      <c r="E18" s="31"/>
      <c r="F18" s="31"/>
      <c r="G18" s="31"/>
      <c r="H18" s="31"/>
      <c r="I18" s="31"/>
      <c r="J18" s="31"/>
      <c r="K18" s="31"/>
      <c r="L18" s="31"/>
      <c r="M18" s="31"/>
      <c r="N18" s="31"/>
      <c r="O18" s="31"/>
      <c r="P18" s="31"/>
      <c r="Q18" s="31"/>
      <c r="R18" s="31"/>
      <c r="S18" s="31"/>
      <c r="T18" s="31"/>
      <c r="U18" s="31"/>
      <c r="V18" s="31"/>
      <c r="W18" s="31"/>
      <c r="X18" s="31"/>
      <c r="Y18" s="31"/>
      <c r="Z18" s="31"/>
      <c r="AA18" s="32"/>
    </row>
    <row r="19" spans="3:27" x14ac:dyDescent="0.3">
      <c r="C19" s="30"/>
      <c r="D19" s="31"/>
      <c r="E19" s="31"/>
      <c r="F19" s="31"/>
      <c r="G19" s="31"/>
      <c r="H19" s="31"/>
      <c r="I19" s="31"/>
      <c r="J19" s="31"/>
      <c r="K19" s="31"/>
      <c r="L19" s="31"/>
      <c r="M19" s="31"/>
      <c r="N19" s="31"/>
      <c r="O19" s="31"/>
      <c r="P19" s="31"/>
      <c r="Q19" s="31"/>
      <c r="R19" s="31"/>
      <c r="S19" s="31"/>
      <c r="T19" s="31"/>
      <c r="U19" s="31"/>
      <c r="V19" s="31"/>
      <c r="W19" s="31"/>
      <c r="X19" s="31"/>
      <c r="Y19" s="31"/>
      <c r="Z19" s="31"/>
      <c r="AA19" s="32"/>
    </row>
    <row r="20" spans="3:27" x14ac:dyDescent="0.3">
      <c r="C20" s="30"/>
      <c r="D20" s="31"/>
      <c r="E20" s="31"/>
      <c r="F20" s="31"/>
      <c r="G20" s="31"/>
      <c r="H20" s="31"/>
      <c r="I20" s="31"/>
      <c r="J20" s="31"/>
      <c r="K20" s="31"/>
      <c r="L20" s="31"/>
      <c r="M20" s="31"/>
      <c r="N20" s="31"/>
      <c r="O20" s="31"/>
      <c r="P20" s="31"/>
      <c r="Q20" s="31"/>
      <c r="R20" s="31"/>
      <c r="S20" s="31"/>
      <c r="T20" s="31"/>
      <c r="U20" s="31"/>
      <c r="V20" s="31"/>
      <c r="W20" s="31"/>
      <c r="X20" s="31"/>
      <c r="Y20" s="31"/>
      <c r="Z20" s="31"/>
      <c r="AA20" s="32"/>
    </row>
    <row r="21" spans="3:27" x14ac:dyDescent="0.3">
      <c r="C21" s="30"/>
      <c r="D21" s="31"/>
      <c r="E21" s="31"/>
      <c r="F21" s="31"/>
      <c r="G21" s="31"/>
      <c r="H21" s="31"/>
      <c r="I21" s="31"/>
      <c r="J21" s="31"/>
      <c r="K21" s="31"/>
      <c r="L21" s="31"/>
      <c r="M21" s="31"/>
      <c r="N21" s="31"/>
      <c r="O21" s="31"/>
      <c r="P21" s="31"/>
      <c r="Q21" s="31"/>
      <c r="R21" s="31"/>
      <c r="S21" s="31"/>
      <c r="T21" s="31"/>
      <c r="U21" s="31"/>
      <c r="V21" s="31"/>
      <c r="W21" s="31"/>
      <c r="X21" s="31"/>
      <c r="Y21" s="31"/>
      <c r="Z21" s="31"/>
      <c r="AA21" s="32"/>
    </row>
    <row r="22" spans="3:27" x14ac:dyDescent="0.3">
      <c r="C22" s="30"/>
      <c r="D22" s="31"/>
      <c r="E22" s="31"/>
      <c r="F22" s="31"/>
      <c r="G22" s="31"/>
      <c r="H22" s="31"/>
      <c r="I22" s="31"/>
      <c r="J22" s="31"/>
      <c r="K22" s="31"/>
      <c r="L22" s="31"/>
      <c r="M22" s="31"/>
      <c r="N22" s="31"/>
      <c r="O22" s="31"/>
      <c r="P22" s="31"/>
      <c r="Q22" s="31"/>
      <c r="R22" s="31"/>
      <c r="S22" s="31"/>
      <c r="T22" s="31"/>
      <c r="U22" s="31"/>
      <c r="V22" s="31"/>
      <c r="W22" s="31"/>
      <c r="X22" s="31"/>
      <c r="Y22" s="31"/>
      <c r="Z22" s="31"/>
      <c r="AA22" s="32"/>
    </row>
    <row r="23" spans="3:27" x14ac:dyDescent="0.3">
      <c r="C23" s="30"/>
      <c r="D23" s="31"/>
      <c r="E23" s="31"/>
      <c r="F23" s="31"/>
      <c r="G23" s="31"/>
      <c r="H23" s="31"/>
      <c r="I23" s="31"/>
      <c r="J23" s="31"/>
      <c r="K23" s="31"/>
      <c r="L23" s="31"/>
      <c r="M23" s="31"/>
      <c r="N23" s="31"/>
      <c r="O23" s="31"/>
      <c r="P23" s="31"/>
      <c r="Q23" s="31"/>
      <c r="R23" s="31"/>
      <c r="S23" s="31"/>
      <c r="T23" s="31"/>
      <c r="U23" s="31"/>
      <c r="V23" s="31"/>
      <c r="W23" s="31"/>
      <c r="X23" s="31"/>
      <c r="Y23" s="31"/>
      <c r="Z23" s="31"/>
      <c r="AA23" s="32"/>
    </row>
    <row r="24" spans="3:27" x14ac:dyDescent="0.3">
      <c r="C24" s="30"/>
      <c r="D24" s="31"/>
      <c r="E24" s="31"/>
      <c r="F24" s="31"/>
      <c r="G24" s="31"/>
      <c r="H24" s="31"/>
      <c r="I24" s="31"/>
      <c r="J24" s="31"/>
      <c r="K24" s="31"/>
      <c r="L24" s="31"/>
      <c r="M24" s="31"/>
      <c r="N24" s="31"/>
      <c r="O24" s="31"/>
      <c r="P24" s="31"/>
      <c r="Q24" s="31"/>
      <c r="R24" s="31"/>
      <c r="S24" s="31"/>
      <c r="T24" s="31"/>
      <c r="U24" s="31"/>
      <c r="V24" s="31"/>
      <c r="W24" s="31"/>
      <c r="X24" s="31"/>
      <c r="Y24" s="31"/>
      <c r="Z24" s="31"/>
      <c r="AA24" s="32"/>
    </row>
    <row r="25" spans="3:27" x14ac:dyDescent="0.3">
      <c r="C25" s="30"/>
      <c r="D25" s="31"/>
      <c r="E25" s="31"/>
      <c r="F25" s="31"/>
      <c r="G25" s="31"/>
      <c r="H25" s="31"/>
      <c r="I25" s="31"/>
      <c r="J25" s="31"/>
      <c r="K25" s="31"/>
      <c r="L25" s="31"/>
      <c r="M25" s="31"/>
      <c r="N25" s="31"/>
      <c r="O25" s="31"/>
      <c r="P25" s="31"/>
      <c r="Q25" s="31"/>
      <c r="R25" s="31"/>
      <c r="S25" s="31"/>
      <c r="T25" s="31"/>
      <c r="U25" s="31"/>
      <c r="V25" s="31"/>
      <c r="W25" s="31"/>
      <c r="X25" s="31"/>
      <c r="Y25" s="31"/>
      <c r="Z25" s="31"/>
      <c r="AA25" s="32"/>
    </row>
    <row r="26" spans="3:27" x14ac:dyDescent="0.3">
      <c r="C26" s="30"/>
      <c r="D26" s="31"/>
      <c r="E26" s="31"/>
      <c r="F26" s="31"/>
      <c r="G26" s="31"/>
      <c r="H26" s="31"/>
      <c r="I26" s="31"/>
      <c r="J26" s="31"/>
      <c r="K26" s="31"/>
      <c r="L26" s="31"/>
      <c r="M26" s="31"/>
      <c r="N26" s="31"/>
      <c r="O26" s="31"/>
      <c r="P26" s="31"/>
      <c r="Q26" s="31"/>
      <c r="R26" s="31"/>
      <c r="S26" s="31"/>
      <c r="T26" s="31"/>
      <c r="U26" s="31"/>
      <c r="V26" s="31"/>
      <c r="W26" s="31"/>
      <c r="X26" s="31"/>
      <c r="Y26" s="31"/>
      <c r="Z26" s="31"/>
      <c r="AA26" s="32"/>
    </row>
    <row r="27" spans="3:27" x14ac:dyDescent="0.3">
      <c r="C27" s="30"/>
      <c r="D27" s="31"/>
      <c r="E27" s="31"/>
      <c r="F27" s="31"/>
      <c r="G27" s="31"/>
      <c r="H27" s="31"/>
      <c r="I27" s="31"/>
      <c r="J27" s="31"/>
      <c r="K27" s="31"/>
      <c r="L27" s="31"/>
      <c r="M27" s="31"/>
      <c r="N27" s="31"/>
      <c r="O27" s="31"/>
      <c r="P27" s="31"/>
      <c r="Q27" s="31"/>
      <c r="R27" s="31"/>
      <c r="S27" s="31"/>
      <c r="T27" s="31"/>
      <c r="U27" s="31"/>
      <c r="V27" s="31"/>
      <c r="W27" s="31"/>
      <c r="X27" s="31"/>
      <c r="Y27" s="31"/>
      <c r="Z27" s="31"/>
      <c r="AA27" s="32"/>
    </row>
    <row r="28" spans="3:27" x14ac:dyDescent="0.3">
      <c r="C28" s="30"/>
      <c r="D28" s="31"/>
      <c r="E28" s="31"/>
      <c r="F28" s="31"/>
      <c r="G28" s="31"/>
      <c r="H28" s="31"/>
      <c r="I28" s="31"/>
      <c r="J28" s="31"/>
      <c r="K28" s="31"/>
      <c r="L28" s="31"/>
      <c r="M28" s="31"/>
      <c r="N28" s="31"/>
      <c r="O28" s="31"/>
      <c r="P28" s="31"/>
      <c r="Q28" s="31"/>
      <c r="R28" s="31"/>
      <c r="S28" s="31"/>
      <c r="T28" s="31"/>
      <c r="U28" s="31"/>
      <c r="V28" s="31"/>
      <c r="W28" s="31"/>
      <c r="X28" s="31"/>
      <c r="Y28" s="31"/>
      <c r="Z28" s="31"/>
      <c r="AA28" s="32"/>
    </row>
    <row r="29" spans="3:27" x14ac:dyDescent="0.3">
      <c r="C29" s="30"/>
      <c r="D29" s="31"/>
      <c r="E29" s="31"/>
      <c r="F29" s="31"/>
      <c r="G29" s="31"/>
      <c r="H29" s="31"/>
      <c r="I29" s="31"/>
      <c r="J29" s="31"/>
      <c r="K29" s="31"/>
      <c r="L29" s="31"/>
      <c r="M29" s="31"/>
      <c r="N29" s="31"/>
      <c r="O29" s="31"/>
      <c r="P29" s="31"/>
      <c r="Q29" s="31"/>
      <c r="R29" s="31"/>
      <c r="S29" s="31"/>
      <c r="T29" s="31"/>
      <c r="U29" s="31"/>
      <c r="V29" s="31"/>
      <c r="W29" s="31"/>
      <c r="X29" s="31"/>
      <c r="Y29" s="31"/>
      <c r="Z29" s="31"/>
      <c r="AA29" s="32"/>
    </row>
    <row r="30" spans="3:27" x14ac:dyDescent="0.3">
      <c r="C30" s="30"/>
      <c r="D30" s="31"/>
      <c r="E30" s="31"/>
      <c r="F30" s="31"/>
      <c r="G30" s="31"/>
      <c r="H30" s="31"/>
      <c r="I30" s="31"/>
      <c r="J30" s="31"/>
      <c r="K30" s="31"/>
      <c r="L30" s="31"/>
      <c r="M30" s="31"/>
      <c r="N30" s="31"/>
      <c r="O30" s="31"/>
      <c r="P30" s="31"/>
      <c r="Q30" s="31"/>
      <c r="R30" s="31"/>
      <c r="S30" s="31"/>
      <c r="T30" s="31"/>
      <c r="U30" s="31"/>
      <c r="V30" s="31"/>
      <c r="W30" s="31"/>
      <c r="X30" s="31"/>
      <c r="Y30" s="31"/>
      <c r="Z30" s="31"/>
      <c r="AA30" s="32"/>
    </row>
    <row r="31" spans="3:27" x14ac:dyDescent="0.3">
      <c r="C31" s="30"/>
      <c r="D31" s="31"/>
      <c r="E31" s="31"/>
      <c r="F31" s="31"/>
      <c r="G31" s="31"/>
      <c r="H31" s="31"/>
      <c r="I31" s="31"/>
      <c r="J31" s="31"/>
      <c r="K31" s="31"/>
      <c r="L31" s="31"/>
      <c r="M31" s="31"/>
      <c r="N31" s="31"/>
      <c r="O31" s="31"/>
      <c r="P31" s="31"/>
      <c r="Q31" s="31"/>
      <c r="R31" s="31"/>
      <c r="S31" s="31"/>
      <c r="T31" s="31"/>
      <c r="U31" s="31"/>
      <c r="V31" s="31"/>
      <c r="W31" s="31"/>
      <c r="X31" s="31"/>
      <c r="Y31" s="31"/>
      <c r="Z31" s="31"/>
      <c r="AA31" s="32"/>
    </row>
    <row r="32" spans="3:27" x14ac:dyDescent="0.3">
      <c r="C32" s="30"/>
      <c r="D32" s="31"/>
      <c r="E32" s="31"/>
      <c r="F32" s="31"/>
      <c r="G32" s="31"/>
      <c r="H32" s="31"/>
      <c r="I32" s="31"/>
      <c r="J32" s="31"/>
      <c r="K32" s="31"/>
      <c r="L32" s="31"/>
      <c r="M32" s="31"/>
      <c r="N32" s="31"/>
      <c r="O32" s="31"/>
      <c r="P32" s="31"/>
      <c r="Q32" s="31"/>
      <c r="R32" s="31"/>
      <c r="S32" s="31"/>
      <c r="T32" s="31"/>
      <c r="U32" s="31"/>
      <c r="V32" s="31"/>
      <c r="W32" s="31"/>
      <c r="X32" s="31"/>
      <c r="Y32" s="31"/>
      <c r="Z32" s="31"/>
      <c r="AA32" s="32"/>
    </row>
    <row r="33" spans="3:27" x14ac:dyDescent="0.3">
      <c r="C33" s="30"/>
      <c r="D33" s="31"/>
      <c r="E33" s="31"/>
      <c r="F33" s="31"/>
      <c r="G33" s="31"/>
      <c r="H33" s="31"/>
      <c r="I33" s="31"/>
      <c r="J33" s="31"/>
      <c r="K33" s="31"/>
      <c r="L33" s="31"/>
      <c r="M33" s="31"/>
      <c r="N33" s="31"/>
      <c r="O33" s="31"/>
      <c r="P33" s="31"/>
      <c r="Q33" s="31"/>
      <c r="R33" s="31"/>
      <c r="S33" s="31"/>
      <c r="T33" s="31"/>
      <c r="U33" s="31"/>
      <c r="V33" s="31"/>
      <c r="W33" s="31"/>
      <c r="X33" s="31"/>
      <c r="Y33" s="31"/>
      <c r="Z33" s="31"/>
      <c r="AA33" s="32"/>
    </row>
    <row r="34" spans="3:27" x14ac:dyDescent="0.3">
      <c r="C34" s="33"/>
      <c r="D34" s="34"/>
      <c r="E34" s="34"/>
      <c r="F34" s="34"/>
      <c r="G34" s="34"/>
      <c r="H34" s="34"/>
      <c r="I34" s="34"/>
      <c r="J34" s="34"/>
      <c r="K34" s="34"/>
      <c r="L34" s="34"/>
      <c r="M34" s="34"/>
      <c r="N34" s="34"/>
      <c r="O34" s="34"/>
      <c r="P34" s="34"/>
      <c r="Q34" s="34"/>
      <c r="R34" s="34"/>
      <c r="S34" s="34"/>
      <c r="T34" s="34"/>
      <c r="U34" s="34"/>
      <c r="V34" s="34"/>
      <c r="W34" s="34"/>
      <c r="X34" s="34"/>
      <c r="Y34" s="34"/>
      <c r="Z34" s="34"/>
      <c r="AA34" s="35"/>
    </row>
  </sheetData>
  <mergeCells count="2">
    <mergeCell ref="C2:AA4"/>
    <mergeCell ref="C5:AA3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sachin</dc:creator>
  <cp:lastModifiedBy>achal dhawas</cp:lastModifiedBy>
  <dcterms:created xsi:type="dcterms:W3CDTF">2026-07-28T20:32:53Z</dcterms:created>
  <dcterms:modified xsi:type="dcterms:W3CDTF">2026-08-01T02:38:01Z</dcterms:modified>
</cp:coreProperties>
</file>