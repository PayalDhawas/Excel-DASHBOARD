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sachin\Desktop\"/>
    </mc:Choice>
  </mc:AlternateContent>
  <xr:revisionPtr revIDLastSave="0" documentId="13_ncr:1_{AB82A4C4-95C3-4622-9521-A2B12C5513D9}" xr6:coauthVersionLast="47" xr6:coauthVersionMax="47" xr10:uidLastSave="{00000000-0000-0000-0000-000000000000}"/>
  <bookViews>
    <workbookView xWindow="-108" yWindow="-108" windowWidth="23256" windowHeight="12456" activeTab="1" xr2:uid="{A3C3E837-8F14-4033-B4E2-F440FC9AAEC1}"/>
  </bookViews>
  <sheets>
    <sheet name="Sheet1" sheetId="1" r:id="rId1"/>
    <sheet name="Pivot Table2" sheetId="2" r:id="rId2"/>
  </sheets>
  <definedNames>
    <definedName name="Slicer_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<sst xmlns="http://schemas.openxmlformats.org/spreadsheetml/2006/main" count="127" uniqueCount="69">
  <si>
    <t>Order ID</t>
  </si>
  <si>
    <t>Order Date</t>
  </si>
  <si>
    <t>Region</t>
  </si>
  <si>
    <t>State</t>
  </si>
  <si>
    <t>Category</t>
  </si>
  <si>
    <t>Sub-Category</t>
  </si>
  <si>
    <t>Customer Segment</t>
  </si>
  <si>
    <t>Salesperson</t>
  </si>
  <si>
    <t>Sales ($)</t>
  </si>
  <si>
    <t>Quantity</t>
  </si>
  <si>
    <t>Discount (%)</t>
  </si>
  <si>
    <t>Cost ($)</t>
  </si>
  <si>
    <t>Profit ($)</t>
  </si>
  <si>
    <t>O1001</t>
  </si>
  <si>
    <t>North</t>
  </si>
  <si>
    <t>Delhi</t>
  </si>
  <si>
    <t>Furniture</t>
  </si>
  <si>
    <t>Chairs</t>
  </si>
  <si>
    <t>Consumer</t>
  </si>
  <si>
    <t>Amit</t>
  </si>
  <si>
    <t>O1002</t>
  </si>
  <si>
    <t>South</t>
  </si>
  <si>
    <t>Karnataka</t>
  </si>
  <si>
    <t>Technology</t>
  </si>
  <si>
    <t>Laptops</t>
  </si>
  <si>
    <t>Corporate</t>
  </si>
  <si>
    <t>Priya</t>
  </si>
  <si>
    <t>O1003</t>
  </si>
  <si>
    <t>East</t>
  </si>
  <si>
    <t>West Bengal</t>
  </si>
  <si>
    <t>Office Supplies</t>
  </si>
  <si>
    <t>Paper</t>
  </si>
  <si>
    <t>Home Office</t>
  </si>
  <si>
    <t>Rahul</t>
  </si>
  <si>
    <t>O1004</t>
  </si>
  <si>
    <t>West</t>
  </si>
  <si>
    <t>Maharashtra</t>
  </si>
  <si>
    <t>Tables</t>
  </si>
  <si>
    <t>Neha</t>
  </si>
  <si>
    <t>O1005</t>
  </si>
  <si>
    <t>Punjab</t>
  </si>
  <si>
    <t>Phones</t>
  </si>
  <si>
    <t>O1006</t>
  </si>
  <si>
    <t>Tamil Nadu</t>
  </si>
  <si>
    <t>Binders</t>
  </si>
  <si>
    <t>O1007</t>
  </si>
  <si>
    <t>Odisha</t>
  </si>
  <si>
    <t>Bookcases</t>
  </si>
  <si>
    <t>O1008</t>
  </si>
  <si>
    <t>Gujarat</t>
  </si>
  <si>
    <t>Accessories</t>
  </si>
  <si>
    <t>O1009</t>
  </si>
  <si>
    <t>Haryana</t>
  </si>
  <si>
    <t>Pens</t>
  </si>
  <si>
    <t>O1010</t>
  </si>
  <si>
    <t>Kerala</t>
  </si>
  <si>
    <t>O1011</t>
  </si>
  <si>
    <t>Assam</t>
  </si>
  <si>
    <t>Tablets</t>
  </si>
  <si>
    <t>O1012</t>
  </si>
  <si>
    <t>Goa</t>
  </si>
  <si>
    <t>Storage</t>
  </si>
  <si>
    <t>O1013</t>
  </si>
  <si>
    <t>O1014</t>
  </si>
  <si>
    <t>Monitors</t>
  </si>
  <si>
    <t>O1015</t>
  </si>
  <si>
    <t>Row Labels</t>
  </si>
  <si>
    <t>Grand Total</t>
  </si>
  <si>
    <t>Sum of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</si>
</sst>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Table2.xlsx]Pivot Table2!PivotTable1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solidFill>
              <a:schemeClr val="accent1"/>
            </a:solidFill>
            <a:ln>
              <a:noFill/>
            </a:ln>
            <a:effectLst/>
          </c:spPr>
          <c:invertIfNegative val="0"/>
          <c:cat>
            <c:multiLvlStrRef>
              <c:f>'Pivot Table2'!$A$4:$A$10</c:f>
              <c:multiLvlStrCache>
                <c:ptCount val="5"/>
                <c:lvl>
                  <c:pt idx="0">
                    <c:v>Accessories</c:v>
                  </c:pt>
                  <c:pt idx="1">
                    <c:v>Laptops</c:v>
                  </c:pt>
                  <c:pt idx="2">
                    <c:v>Monitors</c:v>
                  </c:pt>
                  <c:pt idx="3">
                    <c:v>Phones</c:v>
                  </c:pt>
                  <c:pt idx="4">
                    <c:v>Tablets</c:v>
                  </c:pt>
                </c:lvl>
                <c:lvl>
                  <c:pt idx="0">
                    <c:v>Technology</c:v>
                  </c:pt>
                </c:lvl>
              </c:multiLvlStrCache>
            </c:multiLvlStrRef>
          </c:cat>
          <c:val>
            <c:numRef>
              <c:f>'Pivot Table2'!$B$4:$B$10</c:f>
              <c:numCache>
                <c:formatCode>General</c:formatCode>
                <c:ptCount val="5"/>
                <c:pt idx="0">
                  <c:v>950</c:v>
                </c:pt>
                <c:pt idx="1">
                  <c:v>4500</c:v>
                </c:pt>
                <c:pt idx="2">
                  <c:v>3200</c:v>
                </c:pt>
                <c:pt idx="3">
                  <c:v>1800</c:v>
                </c:pt>
                <c:pt idx="4">
                  <c:v>2700</c:v>
                </c:pt>
              </c:numCache>
            </c:numRef>
          </c:val>
          <c:extLst>
            <c:ext xmlns:c16="http://schemas.microsoft.com/office/drawing/2014/chart" uri="{C3380CC4-5D6E-409C-BE32-E72D297353CC}">
              <c16:uniqueId val="{00000000-71EE-4DC1-9727-193011B2FA2B}"/>
            </c:ext>
          </c:extLst>
        </c:ser>
        <c:dLbls>
          <c:showLegendKey val="0"/>
          <c:showVal val="0"/>
          <c:showCatName val="0"/>
          <c:showSerName val="0"/>
          <c:showPercent val="0"/>
          <c:showBubbleSize val="0"/>
        </c:dLbls>
        <c:gapWidth val="219"/>
        <c:overlap val="-27"/>
        <c:axId val="187306896"/>
        <c:axId val="194695488"/>
      </c:barChart>
      <c:catAx>
        <c:axId val="1873068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5488"/>
        <c:crosses val="autoZero"/>
        <c:auto val="1"/>
        <c:lblAlgn val="ctr"/>
        <c:lblOffset val="100"/>
        <c:noMultiLvlLbl val="0"/>
      </c:catAx>
      <c:valAx>
        <c:axId val="1946954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0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457200</xdr:colOff>
      <xdr:row>6</xdr:row>
      <xdr:rowOff>41910</xdr:rowOff>
    </xdr:from>
    <xdr:to>
      <xdr:col>12</xdr:col>
      <xdr:colOff>342900</xdr:colOff>
      <xdr:row>21</xdr:row>
      <xdr:rowOff>41910</xdr:rowOff>
    </xdr:to>
    <xdr:graphicFrame macro="">
      <xdr:nvGraphicFramePr>
        <xdr:cNvPr id="6" name="Chart 5">
          <a:extLst>
            <a:ext uri="{FF2B5EF4-FFF2-40B4-BE49-F238E27FC236}">
              <a16:creationId xmlns:a16="http://schemas.microsoft.com/office/drawing/2014/main" id="{8609DA23-7F25-4C10-8C68-E926B33A8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53340</xdr:colOff>
      <xdr:row>6</xdr:row>
      <xdr:rowOff>30480</xdr:rowOff>
    </xdr:from>
    <xdr:to>
      <xdr:col>17</xdr:col>
      <xdr:colOff>53340</xdr:colOff>
      <xdr:row>19</xdr:row>
      <xdr:rowOff>120015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C992D3A7-392B-48D8-ACB6-FAE5D79A8C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357360" y="112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226.250068865738" createdVersion="7" refreshedVersion="7" minRefreshableVersion="3" recordCount="15" xr:uid="{2CBBD2C0-7C48-4BEE-A3FA-821CD72CD671}">
  <cacheSource type="worksheet">
    <worksheetSource ref="A1:M16" sheet="Sheet1"/>
  </cacheSource>
  <cacheFields count="13">
    <cacheField name="Order ID" numFmtId="0">
      <sharedItems/>
    </cacheField>
    <cacheField name="Order Date" numFmtId="14">
      <sharedItems containsSemiMixedTypes="0" containsNonDate="0" containsDate="1" containsString="0" minDate="2026-01-05T00:00:00" maxDate="2026-02-08T00:00:00"/>
    </cacheField>
    <cacheField name="Region" numFmtId="0">
      <sharedItems/>
    </cacheField>
    <cacheField name="State" numFmtId="0">
      <sharedItems/>
    </cacheField>
    <cacheField name="Category" numFmtId="0">
      <sharedItems count="3">
        <s v="Furniture"/>
        <s v="Technology"/>
        <s v="Office Supplies"/>
      </sharedItems>
    </cacheField>
    <cacheField name="Sub-Category" numFmtId="0">
      <sharedItems count="12">
        <s v="Chairs"/>
        <s v="Laptops"/>
        <s v="Paper"/>
        <s v="Tables"/>
        <s v="Phones"/>
        <s v="Binders"/>
        <s v="Bookcases"/>
        <s v="Accessories"/>
        <s v="Pens"/>
        <s v="Tablets"/>
        <s v="Storage"/>
        <s v="Monitors"/>
      </sharedItems>
    </cacheField>
    <cacheField name="Customer Segment" numFmtId="0">
      <sharedItems/>
    </cacheField>
    <cacheField name="Salesperson" numFmtId="0">
      <sharedItems/>
    </cacheField>
    <cacheField name="Sales ($)" numFmtId="0">
      <sharedItems containsSemiMixedTypes="0" containsString="0" containsNumber="1" containsInteger="1" minValue="350" maxValue="4500"/>
    </cacheField>
    <cacheField name="Quantity" numFmtId="0">
      <sharedItems containsSemiMixedTypes="0" containsString="0" containsNumber="1" containsInteger="1" minValue="1" maxValue="15"/>
    </cacheField>
    <cacheField name="Discount (%)" numFmtId="0">
      <sharedItems containsSemiMixedTypes="0" containsString="0" containsNumber="1" containsInteger="1" minValue="0" maxValue="15"/>
    </cacheField>
    <cacheField name="Cost ($)" numFmtId="0">
      <sharedItems containsSemiMixedTypes="0" containsString="0" containsNumber="1" containsInteger="1" minValue="220" maxValue="3900"/>
    </cacheField>
    <cacheField name="Profit ($)" numFmtId="0">
      <sharedItems containsSemiMixedTypes="0" containsString="0" containsNumber="1" containsInteger="1" minValue="130" maxValue="600"/>
    </cacheField>
  </cacheFields>
  <extLst>
    <ext xmlns:x14="http://schemas.microsoft.com/office/spreadsheetml/2009/9/main" uri="{725AE2AE-9491-48be-B2B4-4EB974FC3084}">
      <x14:pivotCacheDefinition pivotCacheId="624258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1001"/>
    <d v="2026-01-05T00:00:00"/>
    <s v="North"/>
    <s v="Delhi"/>
    <x v="0"/>
    <x v="0"/>
    <s v="Consumer"/>
    <s v="Amit"/>
    <n v="1200"/>
    <n v="2"/>
    <n v="10"/>
    <n v="900"/>
    <n v="300"/>
  </r>
  <r>
    <s v="O1002"/>
    <d v="2026-01-08T00:00:00"/>
    <s v="South"/>
    <s v="Karnataka"/>
    <x v="1"/>
    <x v="1"/>
    <s v="Corporate"/>
    <s v="Priya"/>
    <n v="4500"/>
    <n v="1"/>
    <n v="5"/>
    <n v="3900"/>
    <n v="600"/>
  </r>
  <r>
    <s v="O1003"/>
    <d v="2026-01-10T00:00:00"/>
    <s v="East"/>
    <s v="West Bengal"/>
    <x v="2"/>
    <x v="2"/>
    <s v="Home Office"/>
    <s v="Rahul"/>
    <n v="350"/>
    <n v="10"/>
    <n v="0"/>
    <n v="220"/>
    <n v="130"/>
  </r>
  <r>
    <s v="O1004"/>
    <d v="2026-01-12T00:00:00"/>
    <s v="West"/>
    <s v="Maharashtra"/>
    <x v="0"/>
    <x v="3"/>
    <s v="Consumer"/>
    <s v="Neha"/>
    <n v="2200"/>
    <n v="1"/>
    <n v="15"/>
    <n v="1800"/>
    <n v="400"/>
  </r>
  <r>
    <s v="O1005"/>
    <d v="2026-01-14T00:00:00"/>
    <s v="North"/>
    <s v="Punjab"/>
    <x v="1"/>
    <x v="4"/>
    <s v="Corporate"/>
    <s v="Amit"/>
    <n v="1800"/>
    <n v="3"/>
    <n v="8"/>
    <n v="1400"/>
    <n v="400"/>
  </r>
  <r>
    <s v="O1006"/>
    <d v="2026-01-15T00:00:00"/>
    <s v="South"/>
    <s v="Tamil Nadu"/>
    <x v="2"/>
    <x v="5"/>
    <s v="Consumer"/>
    <s v="Priya"/>
    <n v="600"/>
    <n v="5"/>
    <n v="5"/>
    <n v="420"/>
    <n v="180"/>
  </r>
  <r>
    <s v="O1007"/>
    <d v="2026-01-18T00:00:00"/>
    <s v="East"/>
    <s v="Odisha"/>
    <x v="0"/>
    <x v="6"/>
    <s v="Home Office"/>
    <s v="Rahul"/>
    <n v="3100"/>
    <n v="2"/>
    <n v="12"/>
    <n v="2500"/>
    <n v="600"/>
  </r>
  <r>
    <s v="O1008"/>
    <d v="2026-01-20T00:00:00"/>
    <s v="West"/>
    <s v="Gujarat"/>
    <x v="1"/>
    <x v="7"/>
    <s v="Consumer"/>
    <s v="Neha"/>
    <n v="950"/>
    <n v="5"/>
    <n v="10"/>
    <n v="700"/>
    <n v="250"/>
  </r>
  <r>
    <s v="O1009"/>
    <d v="2026-01-22T00:00:00"/>
    <s v="North"/>
    <s v="Haryana"/>
    <x v="2"/>
    <x v="8"/>
    <s v="Corporate"/>
    <s v="Amit"/>
    <n v="420"/>
    <n v="12"/>
    <n v="0"/>
    <n v="250"/>
    <n v="170"/>
  </r>
  <r>
    <s v="O1010"/>
    <d v="2026-01-25T00:00:00"/>
    <s v="South"/>
    <s v="Kerala"/>
    <x v="0"/>
    <x v="0"/>
    <s v="Home Office"/>
    <s v="Priya"/>
    <n v="1450"/>
    <n v="2"/>
    <n v="5"/>
    <n v="1050"/>
    <n v="400"/>
  </r>
  <r>
    <s v="O1011"/>
    <d v="2026-01-27T00:00:00"/>
    <s v="East"/>
    <s v="Assam"/>
    <x v="1"/>
    <x v="9"/>
    <s v="Consumer"/>
    <s v="Rahul"/>
    <n v="2700"/>
    <n v="2"/>
    <n v="10"/>
    <n v="2200"/>
    <n v="500"/>
  </r>
  <r>
    <s v="O1012"/>
    <d v="2026-01-30T00:00:00"/>
    <s v="West"/>
    <s v="Goa"/>
    <x v="2"/>
    <x v="10"/>
    <s v="Corporate"/>
    <s v="Neha"/>
    <n v="850"/>
    <n v="4"/>
    <n v="5"/>
    <n v="620"/>
    <n v="230"/>
  </r>
  <r>
    <s v="O1013"/>
    <d v="2026-02-02T00:00:00"/>
    <s v="North"/>
    <s v="Delhi"/>
    <x v="0"/>
    <x v="3"/>
    <s v="Consumer"/>
    <s v="Amit"/>
    <n v="2600"/>
    <n v="2"/>
    <n v="10"/>
    <n v="2050"/>
    <n v="550"/>
  </r>
  <r>
    <s v="O1014"/>
    <d v="2026-02-05T00:00:00"/>
    <s v="South"/>
    <s v="Karnataka"/>
    <x v="1"/>
    <x v="11"/>
    <s v="Home Office"/>
    <s v="Priya"/>
    <n v="3200"/>
    <n v="2"/>
    <n v="8"/>
    <n v="2650"/>
    <n v="550"/>
  </r>
  <r>
    <s v="O1015"/>
    <d v="2026-02-07T00:00:00"/>
    <s v="West"/>
    <s v="Maharashtra"/>
    <x v="2"/>
    <x v="2"/>
    <s v="Consumer"/>
    <s v="Neha"/>
    <n v="500"/>
    <n v="15"/>
    <n v="0"/>
    <n v="300"/>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4CAFD3-98B2-4565-A5DE-9059EF7E0E9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3">
    <pivotField showAll="0"/>
    <pivotField numFmtId="14" showAll="0"/>
    <pivotField showAll="0"/>
    <pivotField showAll="0"/>
    <pivotField axis="axisRow" showAll="0">
      <items count="4">
        <item h="1" x="0"/>
        <item h="1" x="2"/>
        <item x="1"/>
        <item t="default"/>
      </items>
    </pivotField>
    <pivotField axis="axisRow" showAll="0">
      <items count="13">
        <item x="7"/>
        <item x="5"/>
        <item x="6"/>
        <item x="0"/>
        <item x="1"/>
        <item x="11"/>
        <item x="2"/>
        <item x="8"/>
        <item x="4"/>
        <item x="10"/>
        <item x="3"/>
        <item x="9"/>
        <item t="default"/>
      </items>
    </pivotField>
    <pivotField showAll="0"/>
    <pivotField showAll="0"/>
    <pivotField dataField="1" showAll="0"/>
    <pivotField showAll="0"/>
    <pivotField showAll="0"/>
    <pivotField showAll="0"/>
    <pivotField showAll="0"/>
  </pivotFields>
  <rowFields count="2">
    <field x="4"/>
    <field x="5"/>
  </rowFields>
  <rowItems count="7">
    <i>
      <x v="2"/>
    </i>
    <i r="1">
      <x/>
    </i>
    <i r="1">
      <x v="4"/>
    </i>
    <i r="1">
      <x v="5"/>
    </i>
    <i r="1">
      <x v="8"/>
    </i>
    <i r="1">
      <x v="11"/>
    </i>
    <i t="grand">
      <x/>
    </i>
  </rowItems>
  <colItems count="1">
    <i/>
  </colItems>
  <dataFields count="1">
    <dataField name="Sum of Sales ($)"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9370CF-3CFD-457E-86C3-A64832BE86F8}" sourceName="Category">
  <pivotTables>
    <pivotTable tabId="2" name="PivotTable1"/>
  </pivotTables>
  <data>
    <tabular pivotCacheId="62425842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3E56D3-3F1E-4F6E-876F-9E3A6EAC3FBA}"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7CEF-8DFD-4298-91D1-318FF5AB9F11}">
  <dimension ref="A1:M16"/>
  <sheetViews>
    <sheetView workbookViewId="0">
      <selection activeCell="C27" sqref="C2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1">
        <v>46027</v>
      </c>
      <c r="C2" t="s">
        <v>14</v>
      </c>
      <c r="D2" t="s">
        <v>15</v>
      </c>
      <c r="E2" t="s">
        <v>16</v>
      </c>
      <c r="F2" t="s">
        <v>17</v>
      </c>
      <c r="G2" t="s">
        <v>18</v>
      </c>
      <c r="H2" t="s">
        <v>19</v>
      </c>
      <c r="I2">
        <v>1200</v>
      </c>
      <c r="J2">
        <v>2</v>
      </c>
      <c r="K2">
        <v>10</v>
      </c>
      <c r="L2">
        <v>900</v>
      </c>
      <c r="M2">
        <v>300</v>
      </c>
    </row>
    <row r="3" spans="1:13" x14ac:dyDescent="0.3">
      <c r="A3" t="s">
        <v>20</v>
      </c>
      <c r="B3" s="1">
        <v>46030</v>
      </c>
      <c r="C3" t="s">
        <v>21</v>
      </c>
      <c r="D3" t="s">
        <v>22</v>
      </c>
      <c r="E3" t="s">
        <v>23</v>
      </c>
      <c r="F3" t="s">
        <v>24</v>
      </c>
      <c r="G3" t="s">
        <v>25</v>
      </c>
      <c r="H3" t="s">
        <v>26</v>
      </c>
      <c r="I3">
        <v>4500</v>
      </c>
      <c r="J3">
        <v>1</v>
      </c>
      <c r="K3">
        <v>5</v>
      </c>
      <c r="L3">
        <v>3900</v>
      </c>
      <c r="M3">
        <v>600</v>
      </c>
    </row>
    <row r="4" spans="1:13" x14ac:dyDescent="0.3">
      <c r="A4" t="s">
        <v>27</v>
      </c>
      <c r="B4" s="1">
        <v>46032</v>
      </c>
      <c r="C4" t="s">
        <v>28</v>
      </c>
      <c r="D4" t="s">
        <v>29</v>
      </c>
      <c r="E4" t="s">
        <v>30</v>
      </c>
      <c r="F4" t="s">
        <v>31</v>
      </c>
      <c r="G4" t="s">
        <v>32</v>
      </c>
      <c r="H4" t="s">
        <v>33</v>
      </c>
      <c r="I4">
        <v>350</v>
      </c>
      <c r="J4">
        <v>10</v>
      </c>
      <c r="K4">
        <v>0</v>
      </c>
      <c r="L4">
        <v>220</v>
      </c>
      <c r="M4">
        <v>130</v>
      </c>
    </row>
    <row r="5" spans="1:13" x14ac:dyDescent="0.3">
      <c r="A5" t="s">
        <v>34</v>
      </c>
      <c r="B5" s="1">
        <v>46034</v>
      </c>
      <c r="C5" t="s">
        <v>35</v>
      </c>
      <c r="D5" t="s">
        <v>36</v>
      </c>
      <c r="E5" t="s">
        <v>16</v>
      </c>
      <c r="F5" t="s">
        <v>37</v>
      </c>
      <c r="G5" t="s">
        <v>18</v>
      </c>
      <c r="H5" t="s">
        <v>38</v>
      </c>
      <c r="I5">
        <v>2200</v>
      </c>
      <c r="J5">
        <v>1</v>
      </c>
      <c r="K5">
        <v>15</v>
      </c>
      <c r="L5">
        <v>1800</v>
      </c>
      <c r="M5">
        <v>400</v>
      </c>
    </row>
    <row r="6" spans="1:13" x14ac:dyDescent="0.3">
      <c r="A6" t="s">
        <v>39</v>
      </c>
      <c r="B6" s="1">
        <v>46036</v>
      </c>
      <c r="C6" t="s">
        <v>14</v>
      </c>
      <c r="D6" t="s">
        <v>40</v>
      </c>
      <c r="E6" t="s">
        <v>23</v>
      </c>
      <c r="F6" t="s">
        <v>41</v>
      </c>
      <c r="G6" t="s">
        <v>25</v>
      </c>
      <c r="H6" t="s">
        <v>19</v>
      </c>
      <c r="I6">
        <v>1800</v>
      </c>
      <c r="J6">
        <v>3</v>
      </c>
      <c r="K6">
        <v>8</v>
      </c>
      <c r="L6">
        <v>1400</v>
      </c>
      <c r="M6">
        <v>400</v>
      </c>
    </row>
    <row r="7" spans="1:13" x14ac:dyDescent="0.3">
      <c r="A7" t="s">
        <v>42</v>
      </c>
      <c r="B7" s="1">
        <v>46037</v>
      </c>
      <c r="C7" t="s">
        <v>21</v>
      </c>
      <c r="D7" t="s">
        <v>43</v>
      </c>
      <c r="E7" t="s">
        <v>30</v>
      </c>
      <c r="F7" t="s">
        <v>44</v>
      </c>
      <c r="G7" t="s">
        <v>18</v>
      </c>
      <c r="H7" t="s">
        <v>26</v>
      </c>
      <c r="I7">
        <v>600</v>
      </c>
      <c r="J7">
        <v>5</v>
      </c>
      <c r="K7">
        <v>5</v>
      </c>
      <c r="L7">
        <v>420</v>
      </c>
      <c r="M7">
        <v>180</v>
      </c>
    </row>
    <row r="8" spans="1:13" x14ac:dyDescent="0.3">
      <c r="A8" t="s">
        <v>45</v>
      </c>
      <c r="B8" s="1">
        <v>46040</v>
      </c>
      <c r="C8" t="s">
        <v>28</v>
      </c>
      <c r="D8" t="s">
        <v>46</v>
      </c>
      <c r="E8" t="s">
        <v>16</v>
      </c>
      <c r="F8" t="s">
        <v>47</v>
      </c>
      <c r="G8" t="s">
        <v>32</v>
      </c>
      <c r="H8" t="s">
        <v>33</v>
      </c>
      <c r="I8">
        <v>3100</v>
      </c>
      <c r="J8">
        <v>2</v>
      </c>
      <c r="K8">
        <v>12</v>
      </c>
      <c r="L8">
        <v>2500</v>
      </c>
      <c r="M8">
        <v>600</v>
      </c>
    </row>
    <row r="9" spans="1:13" x14ac:dyDescent="0.3">
      <c r="A9" t="s">
        <v>48</v>
      </c>
      <c r="B9" s="1">
        <v>46042</v>
      </c>
      <c r="C9" t="s">
        <v>35</v>
      </c>
      <c r="D9" t="s">
        <v>49</v>
      </c>
      <c r="E9" t="s">
        <v>23</v>
      </c>
      <c r="F9" t="s">
        <v>50</v>
      </c>
      <c r="G9" t="s">
        <v>18</v>
      </c>
      <c r="H9" t="s">
        <v>38</v>
      </c>
      <c r="I9">
        <v>950</v>
      </c>
      <c r="J9">
        <v>5</v>
      </c>
      <c r="K9">
        <v>10</v>
      </c>
      <c r="L9">
        <v>700</v>
      </c>
      <c r="M9">
        <v>250</v>
      </c>
    </row>
    <row r="10" spans="1:13" x14ac:dyDescent="0.3">
      <c r="A10" t="s">
        <v>51</v>
      </c>
      <c r="B10" s="1">
        <v>46044</v>
      </c>
      <c r="C10" t="s">
        <v>14</v>
      </c>
      <c r="D10" t="s">
        <v>52</v>
      </c>
      <c r="E10" t="s">
        <v>30</v>
      </c>
      <c r="F10" t="s">
        <v>53</v>
      </c>
      <c r="G10" t="s">
        <v>25</v>
      </c>
      <c r="H10" t="s">
        <v>19</v>
      </c>
      <c r="I10">
        <v>420</v>
      </c>
      <c r="J10">
        <v>12</v>
      </c>
      <c r="K10">
        <v>0</v>
      </c>
      <c r="L10">
        <v>250</v>
      </c>
      <c r="M10">
        <v>170</v>
      </c>
    </row>
    <row r="11" spans="1:13" x14ac:dyDescent="0.3">
      <c r="A11" t="s">
        <v>54</v>
      </c>
      <c r="B11" s="1">
        <v>46047</v>
      </c>
      <c r="C11" t="s">
        <v>21</v>
      </c>
      <c r="D11" t="s">
        <v>55</v>
      </c>
      <c r="E11" t="s">
        <v>16</v>
      </c>
      <c r="F11" t="s">
        <v>17</v>
      </c>
      <c r="G11" t="s">
        <v>32</v>
      </c>
      <c r="H11" t="s">
        <v>26</v>
      </c>
      <c r="I11">
        <v>1450</v>
      </c>
      <c r="J11">
        <v>2</v>
      </c>
      <c r="K11">
        <v>5</v>
      </c>
      <c r="L11">
        <v>1050</v>
      </c>
      <c r="M11">
        <v>400</v>
      </c>
    </row>
    <row r="12" spans="1:13" x14ac:dyDescent="0.3">
      <c r="A12" t="s">
        <v>56</v>
      </c>
      <c r="B12" s="1">
        <v>46049</v>
      </c>
      <c r="C12" t="s">
        <v>28</v>
      </c>
      <c r="D12" t="s">
        <v>57</v>
      </c>
      <c r="E12" t="s">
        <v>23</v>
      </c>
      <c r="F12" t="s">
        <v>58</v>
      </c>
      <c r="G12" t="s">
        <v>18</v>
      </c>
      <c r="H12" t="s">
        <v>33</v>
      </c>
      <c r="I12">
        <v>2700</v>
      </c>
      <c r="J12">
        <v>2</v>
      </c>
      <c r="K12">
        <v>10</v>
      </c>
      <c r="L12">
        <v>2200</v>
      </c>
      <c r="M12">
        <v>500</v>
      </c>
    </row>
    <row r="13" spans="1:13" x14ac:dyDescent="0.3">
      <c r="A13" t="s">
        <v>59</v>
      </c>
      <c r="B13" s="1">
        <v>46052</v>
      </c>
      <c r="C13" t="s">
        <v>35</v>
      </c>
      <c r="D13" t="s">
        <v>60</v>
      </c>
      <c r="E13" t="s">
        <v>30</v>
      </c>
      <c r="F13" t="s">
        <v>61</v>
      </c>
      <c r="G13" t="s">
        <v>25</v>
      </c>
      <c r="H13" t="s">
        <v>38</v>
      </c>
      <c r="I13">
        <v>850</v>
      </c>
      <c r="J13">
        <v>4</v>
      </c>
      <c r="K13">
        <v>5</v>
      </c>
      <c r="L13">
        <v>620</v>
      </c>
      <c r="M13">
        <v>230</v>
      </c>
    </row>
    <row r="14" spans="1:13" x14ac:dyDescent="0.3">
      <c r="A14" t="s">
        <v>62</v>
      </c>
      <c r="B14" s="1">
        <v>46055</v>
      </c>
      <c r="C14" t="s">
        <v>14</v>
      </c>
      <c r="D14" t="s">
        <v>15</v>
      </c>
      <c r="E14" t="s">
        <v>16</v>
      </c>
      <c r="F14" t="s">
        <v>37</v>
      </c>
      <c r="G14" t="s">
        <v>18</v>
      </c>
      <c r="H14" t="s">
        <v>19</v>
      </c>
      <c r="I14">
        <v>2600</v>
      </c>
      <c r="J14">
        <v>2</v>
      </c>
      <c r="K14">
        <v>10</v>
      </c>
      <c r="L14">
        <v>2050</v>
      </c>
      <c r="M14">
        <v>550</v>
      </c>
    </row>
    <row r="15" spans="1:13" x14ac:dyDescent="0.3">
      <c r="A15" t="s">
        <v>63</v>
      </c>
      <c r="B15" s="1">
        <v>46058</v>
      </c>
      <c r="C15" t="s">
        <v>21</v>
      </c>
      <c r="D15" t="s">
        <v>22</v>
      </c>
      <c r="E15" t="s">
        <v>23</v>
      </c>
      <c r="F15" t="s">
        <v>64</v>
      </c>
      <c r="G15" t="s">
        <v>32</v>
      </c>
      <c r="H15" t="s">
        <v>26</v>
      </c>
      <c r="I15">
        <v>3200</v>
      </c>
      <c r="J15">
        <v>2</v>
      </c>
      <c r="K15">
        <v>8</v>
      </c>
      <c r="L15">
        <v>2650</v>
      </c>
      <c r="M15">
        <v>550</v>
      </c>
    </row>
    <row r="16" spans="1:13" x14ac:dyDescent="0.3">
      <c r="A16" t="s">
        <v>65</v>
      </c>
      <c r="B16" s="1">
        <v>46060</v>
      </c>
      <c r="C16" t="s">
        <v>35</v>
      </c>
      <c r="D16" t="s">
        <v>36</v>
      </c>
      <c r="E16" t="s">
        <v>30</v>
      </c>
      <c r="F16" t="s">
        <v>31</v>
      </c>
      <c r="G16" t="s">
        <v>18</v>
      </c>
      <c r="H16" t="s">
        <v>38</v>
      </c>
      <c r="I16">
        <v>500</v>
      </c>
      <c r="J16">
        <v>15</v>
      </c>
      <c r="K16">
        <v>0</v>
      </c>
      <c r="L16">
        <v>300</v>
      </c>
      <c r="M16">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03E4-B6DA-4C78-997C-95149730672D}">
  <dimension ref="A3:B10"/>
  <sheetViews>
    <sheetView tabSelected="1" zoomScaleNormal="100" workbookViewId="0">
      <selection activeCell="B6" sqref="B6"/>
    </sheetView>
  </sheetViews>
  <sheetFormatPr defaultRowHeight="14.4" x14ac:dyDescent="0.3"/>
  <cols>
    <col min="1" max="1" width="14.44140625" bestFit="1" customWidth="1"/>
    <col min="2" max="2" width="14.5546875" bestFit="1" customWidth="1"/>
  </cols>
  <sheetData>
    <row r="3" spans="1:2" x14ac:dyDescent="0.3">
      <c r="A3" s="2" t="s">
        <v>66</v>
      </c>
      <c r="B3" t="s">
        <v>68</v>
      </c>
    </row>
    <row r="4" spans="1:2" x14ac:dyDescent="0.3">
      <c r="A4" s="3" t="s">
        <v>23</v>
      </c>
      <c r="B4" s="5">
        <v>13150</v>
      </c>
    </row>
    <row r="5" spans="1:2" x14ac:dyDescent="0.3">
      <c r="A5" s="4" t="s">
        <v>50</v>
      </c>
      <c r="B5" s="5">
        <v>950</v>
      </c>
    </row>
    <row r="6" spans="1:2" x14ac:dyDescent="0.3">
      <c r="A6" s="4" t="s">
        <v>24</v>
      </c>
      <c r="B6" s="5">
        <v>4500</v>
      </c>
    </row>
    <row r="7" spans="1:2" x14ac:dyDescent="0.3">
      <c r="A7" s="4" t="s">
        <v>64</v>
      </c>
      <c r="B7" s="5">
        <v>3200</v>
      </c>
    </row>
    <row r="8" spans="1:2" x14ac:dyDescent="0.3">
      <c r="A8" s="4" t="s">
        <v>41</v>
      </c>
      <c r="B8" s="5">
        <v>1800</v>
      </c>
    </row>
    <row r="9" spans="1:2" x14ac:dyDescent="0.3">
      <c r="A9" s="4" t="s">
        <v>58</v>
      </c>
      <c r="B9" s="5">
        <v>2700</v>
      </c>
    </row>
    <row r="10" spans="1:2" x14ac:dyDescent="0.3">
      <c r="A10" s="3" t="s">
        <v>67</v>
      </c>
      <c r="B10" s="5">
        <v>13150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Pivot 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dc:creator>
  <cp:lastModifiedBy>sachin</cp:lastModifiedBy>
  <dcterms:created xsi:type="dcterms:W3CDTF">2026-07-23T00:29:05Z</dcterms:created>
  <dcterms:modified xsi:type="dcterms:W3CDTF">2026-07-23T01:03:21Z</dcterms:modified>
</cp:coreProperties>
</file>