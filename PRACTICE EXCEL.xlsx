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sachin\Desktop\EXCEL\"/>
    </mc:Choice>
  </mc:AlternateContent>
  <xr:revisionPtr revIDLastSave="0" documentId="13_ncr:1_{E00CCD9C-3B74-44C2-B7C6-DE7D06369DD0}" xr6:coauthVersionLast="47" xr6:coauthVersionMax="47" xr10:uidLastSave="{00000000-0000-0000-0000-000000000000}"/>
  <bookViews>
    <workbookView xWindow="-108" yWindow="-108" windowWidth="23256" windowHeight="12456" activeTab="1" xr2:uid="{44110262-04BC-4C4D-9FFC-B7AF33B53ECB}"/>
  </bookViews>
  <sheets>
    <sheet name="Sheet2" sheetId="2" r:id="rId1"/>
    <sheet name="Sheet1" sheetId="1" r:id="rId2"/>
    <sheet name="Sheet3" sheetId="3" r:id="rId3"/>
  </sheets>
  <definedNames>
    <definedName name="_xlnm._FilterDatabase" localSheetId="1" hidden="1">Sheet1!$B$13:$G$21</definedName>
    <definedName name="Slicer_City">#N/A</definedName>
  </definedNames>
  <calcPr calcId="191029"/>
  <pivotCaches>
    <pivotCache cacheId="2"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4" i="1" l="1"/>
  <c r="B18" i="1"/>
  <c r="B15" i="1" a="1"/>
  <c r="B15" i="1" s="1"/>
  <c r="D16" i="1" a="1"/>
  <c r="D16" i="1" s="1"/>
  <c r="D20" i="1"/>
  <c r="D18" i="1"/>
  <c r="G15" i="1"/>
  <c r="F21" i="1"/>
  <c r="F20" i="1"/>
  <c r="F19" i="1"/>
  <c r="F18" i="1"/>
  <c r="F16" i="1"/>
  <c r="F15" i="1"/>
  <c r="F17" i="1"/>
  <c r="F14" i="1"/>
  <c r="F13" i="1"/>
  <c r="E13" i="1"/>
  <c r="I12" i="1" a="1"/>
  <c r="I12"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<sst xmlns="http://schemas.openxmlformats.org/spreadsheetml/2006/main" count="118" uniqueCount="54">
  <si>
    <t>Employee ID</t>
  </si>
  <si>
    <t>Employee Name</t>
  </si>
  <si>
    <t>Department</t>
  </si>
  <si>
    <t>Position</t>
  </si>
  <si>
    <t>Joining Date</t>
  </si>
  <si>
    <t>Salary</t>
  </si>
  <si>
    <t>City</t>
  </si>
  <si>
    <t>E001</t>
  </si>
  <si>
    <t>Rahul Sharma</t>
  </si>
  <si>
    <t>Sales</t>
  </si>
  <si>
    <t>Sales Executive</t>
  </si>
  <si>
    <t>Nagpur</t>
  </si>
  <si>
    <t>E002</t>
  </si>
  <si>
    <t>Priya Patel</t>
  </si>
  <si>
    <t>HR</t>
  </si>
  <si>
    <t>HR Executive</t>
  </si>
  <si>
    <t>Pune</t>
  </si>
  <si>
    <t>E003</t>
  </si>
  <si>
    <t>Amit Verma</t>
  </si>
  <si>
    <t>IT</t>
  </si>
  <si>
    <t>Software Developer</t>
  </si>
  <si>
    <t>Mumbai</t>
  </si>
  <si>
    <t>E004</t>
  </si>
  <si>
    <t>Neha Singh</t>
  </si>
  <si>
    <t>Finance</t>
  </si>
  <si>
    <t>Accountant</t>
  </si>
  <si>
    <t>Delhi</t>
  </si>
  <si>
    <t>E005</t>
  </si>
  <si>
    <t>Rohan Gupta</t>
  </si>
  <si>
    <t>Marketing</t>
  </si>
  <si>
    <t>Marketing Executive</t>
  </si>
  <si>
    <t>Jaipur</t>
  </si>
  <si>
    <t>E006</t>
  </si>
  <si>
    <t>Sneha Joshi</t>
  </si>
  <si>
    <t>Web Developer</t>
  </si>
  <si>
    <t>Bengaluru</t>
  </si>
  <si>
    <t>E007</t>
  </si>
  <si>
    <t>Arjun Mehta</t>
  </si>
  <si>
    <t>Sales Manager</t>
  </si>
  <si>
    <t>E008</t>
  </si>
  <si>
    <t>Pooja Desai</t>
  </si>
  <si>
    <t>HR Manager</t>
  </si>
  <si>
    <t>E009</t>
  </si>
  <si>
    <t>Karan Shah</t>
  </si>
  <si>
    <t>Financial Analyst</t>
  </si>
  <si>
    <t>Ahmedabad</t>
  </si>
  <si>
    <t>E010</t>
  </si>
  <si>
    <t>Anjali Rao</t>
  </si>
  <si>
    <t>Marketing Manager</t>
  </si>
  <si>
    <t>Hyderabad</t>
  </si>
  <si>
    <t>Sum of Salary</t>
  </si>
  <si>
    <t>Row Labels</t>
  </si>
  <si>
    <t>Grand Total</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</si>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</sst>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EXCEL.xlsx]Sheet2!PivotTable1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Sheet2!$B$3</c:f>
              <c:strCache>
                <c:ptCount val="1"/>
                <c:pt idx="0">
                  <c:v>Total</c:v>
                </c:pt>
              </c:strCache>
            </c:strRef>
          </c:tx>
          <c:spPr>
            <a:solidFill>
              <a:schemeClr val="accent1"/>
            </a:solidFill>
            <a:ln>
              <a:noFill/>
            </a:ln>
            <a:effectLst/>
          </c:spPr>
          <c:invertIfNegative val="0"/>
          <c:cat>
            <c:strRef>
              <c:f>Sheet2!$A$4:$A$5</c:f>
              <c:strCache>
                <c:ptCount val="1"/>
                <c:pt idx="0">
                  <c:v>2022</c:v>
                </c:pt>
              </c:strCache>
            </c:strRef>
          </c:cat>
          <c:val>
            <c:numRef>
              <c:f>Sheet2!$B$4:$B$5</c:f>
              <c:numCache>
                <c:formatCode>General</c:formatCode>
                <c:ptCount val="1"/>
                <c:pt idx="0">
                  <c:v>52000</c:v>
                </c:pt>
              </c:numCache>
            </c:numRef>
          </c:val>
          <c:extLst>
            <c:ext xmlns:c16="http://schemas.microsoft.com/office/drawing/2014/chart" uri="{C3380CC4-5D6E-409C-BE32-E72D297353CC}">
              <c16:uniqueId val="{00000000-7E19-4CE8-940D-3C21B59B93CC}"/>
            </c:ext>
          </c:extLst>
        </c:ser>
        <c:dLbls>
          <c:showLegendKey val="0"/>
          <c:showVal val="0"/>
          <c:showCatName val="0"/>
          <c:showSerName val="0"/>
          <c:showPercent val="0"/>
          <c:showBubbleSize val="0"/>
        </c:dLbls>
        <c:gapWidth val="150"/>
        <c:overlap val="100"/>
        <c:axId val="1290675648"/>
        <c:axId val="1258945616"/>
      </c:barChart>
      <c:catAx>
        <c:axId val="1290675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945616"/>
        <c:crosses val="autoZero"/>
        <c:auto val="1"/>
        <c:lblAlgn val="ctr"/>
        <c:lblOffset val="100"/>
        <c:noMultiLvlLbl val="0"/>
      </c:catAx>
      <c:valAx>
        <c:axId val="1258945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675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190500</xdr:colOff>
      <xdr:row>5</xdr:row>
      <xdr:rowOff>80010</xdr:rowOff>
    </xdr:from>
    <xdr:to>
      <xdr:col>11</xdr:col>
      <xdr:colOff>495300</xdr:colOff>
      <xdr:row>20</xdr:row>
      <xdr:rowOff>80010</xdr:rowOff>
    </xdr:to>
    <xdr:graphicFrame macro="">
      <xdr:nvGraphicFramePr>
        <xdr:cNvPr id="2" name="Chart 1">
          <a:extLst>
            <a:ext uri="{FF2B5EF4-FFF2-40B4-BE49-F238E27FC236}">
              <a16:creationId xmlns:a16="http://schemas.microsoft.com/office/drawing/2014/main" id="{D71BE460-CBB2-D7E7-9D38-815D17A196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457200</xdr:colOff>
      <xdr:row>1</xdr:row>
      <xdr:rowOff>91440</xdr:rowOff>
    </xdr:from>
    <xdr:to>
      <xdr:col>15</xdr:col>
      <xdr:colOff>457200</xdr:colOff>
      <xdr:row>14</xdr:row>
      <xdr:rowOff>180975</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746816F9-E8FE-7006-4AAF-AD3B5DE04E7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8275320" y="2743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chin" refreshedDate="46273.528982407406" createdVersion="8" refreshedVersion="8" minRefreshableVersion="3" recordCount="10" xr:uid="{39BB1C07-0959-45D2-8DEE-CE4A5F31ECD6}">
  <cacheSource type="worksheet">
    <worksheetSource ref="A1:G11" sheet="Sheet1"/>
  </cacheSource>
  <cacheFields count="10">
    <cacheField name="Employee ID" numFmtId="14">
      <sharedItems/>
    </cacheField>
    <cacheField name="Employee Name" numFmtId="0">
      <sharedItems/>
    </cacheField>
    <cacheField name="Department" numFmtId="0">
      <sharedItems count="5">
        <s v="Sales"/>
        <s v="HR"/>
        <s v="IT"/>
        <s v="Finance"/>
        <s v="Marketing"/>
      </sharedItems>
    </cacheField>
    <cacheField name="Position" numFmtId="0">
      <sharedItems/>
    </cacheField>
    <cacheField name="Joining Date" numFmtId="14">
      <sharedItems containsSemiMixedTypes="0" containsNonDate="0" containsDate="1" containsString="0" minDate="2020-01-22T00:00:00" maxDate="2023-09-19T00:00:00" count="10">
        <d v="2023-01-10T00:00:00"/>
        <d v="2022-02-15T00:00:00"/>
        <d v="2021-03-20T00:00:00"/>
        <d v="2023-06-05T00:00:00"/>
        <d v="2022-08-12T00:00:00"/>
        <d v="2023-09-18T00:00:00"/>
        <d v="2020-04-25T00:00:00"/>
        <d v="2021-11-10T00:00:00"/>
        <d v="2022-07-14T00:00:00"/>
        <d v="2020-01-22T00:00:00"/>
      </sharedItems>
      <fieldGroup par="9"/>
    </cacheField>
    <cacheField name="Salary" numFmtId="0">
      <sharedItems containsSemiMixedTypes="0" containsString="0" containsNumber="1" containsInteger="1" minValue="35000" maxValue="65000" count="10">
        <n v="35000"/>
        <n v="40000"/>
        <n v="55000"/>
        <n v="42000"/>
        <n v="38000"/>
        <n v="48000"/>
        <n v="65000"/>
        <n v="60000"/>
        <n v="52000"/>
        <n v="62000"/>
      </sharedItems>
    </cacheField>
    <cacheField name="City" numFmtId="0">
      <sharedItems count="8">
        <s v="Nagpur"/>
        <s v="Pune"/>
        <s v="Mumbai"/>
        <s v="Delhi"/>
        <s v="Jaipur"/>
        <s v="Bengaluru"/>
        <s v="Ahmedabad"/>
        <s v="Hyderabad"/>
      </sharedItems>
    </cacheField>
    <cacheField name="Months (Joining Date)" numFmtId="0" databaseField="0">
      <fieldGroup base="4">
        <rangePr groupBy="months" startDate="2020-01-22T00:00:00" endDate="2023-09-19T00:00:00"/>
        <groupItems count="14">
          <s v="&lt;22-01-2020"/>
          <s v="Jan"/>
          <s v="Feb"/>
          <s v="Mar"/>
          <s v="Apr"/>
          <s v="May"/>
          <s v="Jun"/>
          <s v="Jul"/>
          <s v="Aug"/>
          <s v="Sep"/>
          <s v="Oct"/>
          <s v="Nov"/>
          <s v="Dec"/>
          <s v="&gt;19-09-2023"/>
        </groupItems>
      </fieldGroup>
    </cacheField>
    <cacheField name="Quarters (Joining Date)" numFmtId="0" databaseField="0">
      <fieldGroup base="4">
        <rangePr groupBy="quarters" startDate="2020-01-22T00:00:00" endDate="2023-09-19T00:00:00"/>
        <groupItems count="6">
          <s v="&lt;22-01-2020"/>
          <s v="Qtr1"/>
          <s v="Qtr2"/>
          <s v="Qtr3"/>
          <s v="Qtr4"/>
          <s v="&gt;19-09-2023"/>
        </groupItems>
      </fieldGroup>
    </cacheField>
    <cacheField name="Years (Joining Date)" numFmtId="0" databaseField="0">
      <fieldGroup base="4">
        <rangePr groupBy="years" startDate="2020-01-22T00:00:00" endDate="2023-09-19T00:00:00"/>
        <groupItems count="6">
          <s v="&lt;22-01-2020"/>
          <s v="2020"/>
          <s v="2021"/>
          <s v="2022"/>
          <s v="2023"/>
          <s v="&gt;19-09-2023"/>
        </groupItems>
      </fieldGroup>
    </cacheField>
  </cacheFields>
  <extLst>
    <ext xmlns:x14="http://schemas.microsoft.com/office/spreadsheetml/2009/9/main" uri="{725AE2AE-9491-48be-B2B4-4EB974FC3084}">
      <x14:pivotCacheDefinition pivotCacheId="20643000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E001"/>
    <s v="Rahul Sharma"/>
    <x v="0"/>
    <s v="Sales Executive"/>
    <x v="0"/>
    <x v="0"/>
    <x v="0"/>
  </r>
  <r>
    <s v="E002"/>
    <s v="Priya Patel"/>
    <x v="1"/>
    <s v="HR Executive"/>
    <x v="1"/>
    <x v="1"/>
    <x v="1"/>
  </r>
  <r>
    <s v="E003"/>
    <s v="Amit Verma"/>
    <x v="2"/>
    <s v="Software Developer"/>
    <x v="2"/>
    <x v="2"/>
    <x v="2"/>
  </r>
  <r>
    <s v="E004"/>
    <s v="Neha Singh"/>
    <x v="3"/>
    <s v="Accountant"/>
    <x v="3"/>
    <x v="3"/>
    <x v="3"/>
  </r>
  <r>
    <s v="E005"/>
    <s v="Rohan Gupta"/>
    <x v="4"/>
    <s v="Marketing Executive"/>
    <x v="4"/>
    <x v="4"/>
    <x v="4"/>
  </r>
  <r>
    <s v="E006"/>
    <s v="Sneha Joshi"/>
    <x v="2"/>
    <s v="Web Developer"/>
    <x v="5"/>
    <x v="5"/>
    <x v="5"/>
  </r>
  <r>
    <s v="E007"/>
    <s v="Arjun Mehta"/>
    <x v="0"/>
    <s v="Sales Manager"/>
    <x v="6"/>
    <x v="6"/>
    <x v="0"/>
  </r>
  <r>
    <s v="E008"/>
    <s v="Pooja Desai"/>
    <x v="1"/>
    <s v="HR Manager"/>
    <x v="7"/>
    <x v="7"/>
    <x v="1"/>
  </r>
  <r>
    <s v="E009"/>
    <s v="Karan Shah"/>
    <x v="3"/>
    <s v="Financial Analyst"/>
    <x v="8"/>
    <x v="8"/>
    <x v="6"/>
  </r>
  <r>
    <s v="E010"/>
    <s v="Anjali Rao"/>
    <x v="4"/>
    <s v="Marketing Manager"/>
    <x v="9"/>
    <x v="9"/>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1682E4-0075-4D49-BEAD-0D70827CF559}"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5" firstHeaderRow="1" firstDataRow="1" firstDataCol="1"/>
  <pivotFields count="10">
    <pivotField showAll="0"/>
    <pivotField showAll="0"/>
    <pivotField showAll="0">
      <items count="6">
        <item x="3"/>
        <item x="1"/>
        <item x="2"/>
        <item x="4"/>
        <item x="0"/>
        <item t="default"/>
      </items>
    </pivotField>
    <pivotField showAll="0"/>
    <pivotField numFmtId="14" showAll="0">
      <items count="11">
        <item x="9"/>
        <item x="6"/>
        <item x="2"/>
        <item x="7"/>
        <item x="1"/>
        <item x="8"/>
        <item x="4"/>
        <item x="0"/>
        <item x="3"/>
        <item x="5"/>
        <item t="default"/>
      </items>
    </pivotField>
    <pivotField dataField="1" showAll="0"/>
    <pivotField showAll="0">
      <items count="9">
        <item x="6"/>
        <item h="1" x="5"/>
        <item h="1" x="3"/>
        <item h="1" x="7"/>
        <item h="1" x="4"/>
        <item h="1" x="2"/>
        <item h="1" x="0"/>
        <item h="1"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1">
    <field x="9"/>
  </rowFields>
  <rowItems count="2">
    <i>
      <x v="3"/>
    </i>
    <i t="grand">
      <x/>
    </i>
  </rowItems>
  <colItems count="1">
    <i/>
  </colItems>
  <dataFields count="1">
    <dataField name="Sum of Salary" fld="5"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3F6452D-F7F5-45B2-99CB-CFD05176CCCA}" sourceName="City">
  <pivotTables>
    <pivotTable tabId="2" name="PivotTable1"/>
  </pivotTables>
  <data>
    <tabular pivotCacheId="2064300078">
      <items count="8">
        <i x="6" s="1"/>
        <i x="5"/>
        <i x="3"/>
        <i x="7"/>
        <i x="4"/>
        <i x="2"/>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4B8FDFA1-7D9D-44EB-A3C1-6E859F405DD3}" cache="Slicer_City" caption="Cit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84164-7B21-40EC-8BF6-DCD0BF193ABC}">
  <dimension ref="A3:B5"/>
  <sheetViews>
    <sheetView workbookViewId="0">
      <selection activeCell="L3" sqref="L3"/>
    </sheetView>
  </sheetViews>
  <sheetFormatPr defaultRowHeight="14.4" x14ac:dyDescent="0.3"/>
  <cols>
    <col min="1" max="2" width="12.5546875" bestFit="1" customWidth="1"/>
  </cols>
  <sheetData>
    <row r="3" spans="1:2" x14ac:dyDescent="0.3">
      <c r="A3" s="2" t="s">
        <v>51</v>
      </c>
      <c r="B3" t="s">
        <v>50</v>
      </c>
    </row>
    <row r="4" spans="1:2" x14ac:dyDescent="0.3">
      <c r="A4" s="3" t="s">
        <v>53</v>
      </c>
      <c r="B4">
        <v>52000</v>
      </c>
    </row>
    <row r="5" spans="1:2" x14ac:dyDescent="0.3">
      <c r="A5" s="3" t="s">
        <v>52</v>
      </c>
      <c r="B5">
        <v>52000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B4CCB-7940-4034-827E-D915F9562F13}">
  <dimension ref="A1:I21"/>
  <sheetViews>
    <sheetView tabSelected="1" workbookViewId="0">
      <selection activeCell="D21" sqref="D21"/>
    </sheetView>
  </sheetViews>
  <sheetFormatPr defaultRowHeight="14.4" x14ac:dyDescent="0.3"/>
  <cols>
    <col min="1" max="1" width="15.33203125" customWidth="1"/>
    <col min="2" max="2" width="15.6640625" customWidth="1"/>
    <col min="3" max="3" width="11.77734375" customWidth="1"/>
    <col min="4" max="4" width="19.33203125" customWidth="1"/>
    <col min="5" max="5" width="11.5546875" customWidth="1"/>
    <col min="6" max="6" width="11.77734375" customWidth="1"/>
    <col min="7" max="7" width="11.33203125" customWidth="1"/>
  </cols>
  <sheetData>
    <row r="1" spans="1:9" x14ac:dyDescent="0.3">
      <c r="A1" t="s">
        <v>0</v>
      </c>
      <c r="B1" t="s">
        <v>1</v>
      </c>
      <c r="C1" t="s">
        <v>2</v>
      </c>
      <c r="D1" t="s">
        <v>3</v>
      </c>
      <c r="E1" t="s">
        <v>4</v>
      </c>
      <c r="F1" t="s">
        <v>5</v>
      </c>
      <c r="G1" t="s">
        <v>6</v>
      </c>
    </row>
    <row r="2" spans="1:9" x14ac:dyDescent="0.3">
      <c r="A2" s="1" t="s">
        <v>17</v>
      </c>
      <c r="B2" t="s">
        <v>18</v>
      </c>
      <c r="C2" t="s">
        <v>19</v>
      </c>
      <c r="D2" t="s">
        <v>20</v>
      </c>
      <c r="E2" s="1">
        <v>44275</v>
      </c>
      <c r="F2">
        <v>55000</v>
      </c>
      <c r="G2" t="s">
        <v>21</v>
      </c>
    </row>
    <row r="3" spans="1:9" x14ac:dyDescent="0.3">
      <c r="A3" s="1" t="s">
        <v>46</v>
      </c>
      <c r="B3" t="s">
        <v>47</v>
      </c>
      <c r="C3" t="s">
        <v>29</v>
      </c>
      <c r="D3" t="s">
        <v>48</v>
      </c>
      <c r="E3" s="1">
        <v>43852</v>
      </c>
      <c r="F3">
        <v>62000</v>
      </c>
      <c r="G3" t="s">
        <v>49</v>
      </c>
    </row>
    <row r="4" spans="1:9" x14ac:dyDescent="0.3">
      <c r="A4" s="1" t="s">
        <v>36</v>
      </c>
      <c r="B4" t="s">
        <v>37</v>
      </c>
      <c r="C4" t="s">
        <v>9</v>
      </c>
      <c r="D4" t="s">
        <v>38</v>
      </c>
      <c r="E4" s="1">
        <v>43946</v>
      </c>
      <c r="F4">
        <v>65000</v>
      </c>
      <c r="G4" t="s">
        <v>11</v>
      </c>
    </row>
    <row r="5" spans="1:9" x14ac:dyDescent="0.3">
      <c r="A5" s="1" t="s">
        <v>42</v>
      </c>
      <c r="B5" t="s">
        <v>43</v>
      </c>
      <c r="C5" t="s">
        <v>24</v>
      </c>
      <c r="D5" t="s">
        <v>44</v>
      </c>
      <c r="E5" s="1">
        <v>44756</v>
      </c>
      <c r="F5">
        <v>52000</v>
      </c>
      <c r="G5" t="s">
        <v>45</v>
      </c>
    </row>
    <row r="6" spans="1:9" x14ac:dyDescent="0.3">
      <c r="A6" s="1" t="s">
        <v>22</v>
      </c>
      <c r="B6" t="s">
        <v>23</v>
      </c>
      <c r="C6" t="s">
        <v>24</v>
      </c>
      <c r="D6" t="s">
        <v>25</v>
      </c>
      <c r="E6" s="1">
        <v>45082</v>
      </c>
      <c r="F6">
        <v>42000</v>
      </c>
      <c r="G6" t="s">
        <v>26</v>
      </c>
    </row>
    <row r="7" spans="1:9" x14ac:dyDescent="0.3">
      <c r="A7" s="1" t="s">
        <v>39</v>
      </c>
      <c r="B7" t="s">
        <v>40</v>
      </c>
      <c r="C7" t="s">
        <v>14</v>
      </c>
      <c r="D7" t="s">
        <v>41</v>
      </c>
      <c r="E7" s="1">
        <v>44510</v>
      </c>
      <c r="F7">
        <v>60000</v>
      </c>
      <c r="G7" t="s">
        <v>16</v>
      </c>
    </row>
    <row r="8" spans="1:9" x14ac:dyDescent="0.3">
      <c r="A8" s="1" t="s">
        <v>12</v>
      </c>
      <c r="B8" t="s">
        <v>13</v>
      </c>
      <c r="C8" t="s">
        <v>14</v>
      </c>
      <c r="D8" t="s">
        <v>15</v>
      </c>
      <c r="E8" s="1">
        <v>44607</v>
      </c>
      <c r="F8">
        <v>40000</v>
      </c>
      <c r="G8" t="s">
        <v>16</v>
      </c>
    </row>
    <row r="9" spans="1:9" x14ac:dyDescent="0.3">
      <c r="A9" s="1" t="s">
        <v>7</v>
      </c>
      <c r="B9" t="s">
        <v>8</v>
      </c>
      <c r="C9" t="s">
        <v>9</v>
      </c>
      <c r="D9" t="s">
        <v>10</v>
      </c>
      <c r="E9" s="1">
        <v>44936</v>
      </c>
      <c r="F9">
        <v>35000</v>
      </c>
      <c r="G9" t="s">
        <v>11</v>
      </c>
    </row>
    <row r="10" spans="1:9" x14ac:dyDescent="0.3">
      <c r="A10" s="1" t="s">
        <v>27</v>
      </c>
      <c r="B10" t="s">
        <v>28</v>
      </c>
      <c r="C10" t="s">
        <v>29</v>
      </c>
      <c r="D10" t="s">
        <v>30</v>
      </c>
      <c r="E10" s="1">
        <v>44785</v>
      </c>
      <c r="F10">
        <v>38000</v>
      </c>
      <c r="G10" t="s">
        <v>31</v>
      </c>
    </row>
    <row r="11" spans="1:9" x14ac:dyDescent="0.3">
      <c r="A11" s="1" t="s">
        <v>32</v>
      </c>
      <c r="B11" t="s">
        <v>33</v>
      </c>
      <c r="C11" t="s">
        <v>19</v>
      </c>
      <c r="D11" t="s">
        <v>34</v>
      </c>
      <c r="E11" s="1">
        <v>45187</v>
      </c>
      <c r="F11">
        <v>48000</v>
      </c>
      <c r="G11" t="s">
        <v>35</v>
      </c>
    </row>
    <row r="12" spans="1:9" x14ac:dyDescent="0.3">
      <c r="I12" t="str" cm="1">
        <f t="array" ref="I12">_xlfn.XLOOKUP(A7,A2:A11,G2:G11,not found,0)</f>
        <v>Pune</v>
      </c>
    </row>
    <row r="13" spans="1:9" x14ac:dyDescent="0.3">
      <c r="E13" s="1">
        <f>SUM(F2:F11)</f>
        <v>497000</v>
      </c>
      <c r="F13">
        <f>SUM(F2:F11)</f>
        <v>497000</v>
      </c>
    </row>
    <row r="14" spans="1:9" x14ac:dyDescent="0.3">
      <c r="C14">
        <f>VLOOKUP(A7,A2:G11,6,FALSE)</f>
        <v>60000</v>
      </c>
      <c r="F14">
        <f>AVERAGE(F2:F11)</f>
        <v>49700</v>
      </c>
    </row>
    <row r="15" spans="1:9" x14ac:dyDescent="0.3">
      <c r="B15" t="str" cm="1">
        <f t="array" ref="B15">_xlfn.XLOOKUP(A3,A2:A11,C2:C11,not found)</f>
        <v>Marketing</v>
      </c>
      <c r="F15">
        <f>AVERAGE(F2:F11)</f>
        <v>49700</v>
      </c>
      <c r="G15" t="e">
        <f>VLOOKUP(A7,A2:I12G11,7,FALSE)</f>
        <v>#NAME?</v>
      </c>
    </row>
    <row r="16" spans="1:9" x14ac:dyDescent="0.3">
      <c r="D16" t="str" cm="1">
        <f t="array" ref="D16">_xlfn.XLOOKUP(A7,A2:A11,C2:C11,not found)</f>
        <v>HR</v>
      </c>
      <c r="F16">
        <f>COUNT(F2:F11)</f>
        <v>10</v>
      </c>
    </row>
    <row r="17" spans="2:6" x14ac:dyDescent="0.3">
      <c r="F17">
        <f>SUM(F2:F11)</f>
        <v>497000</v>
      </c>
    </row>
    <row r="18" spans="2:6" x14ac:dyDescent="0.3">
      <c r="B18">
        <f>VLOOKUP(A7,A2:G11,5,FALSE)</f>
        <v>44510</v>
      </c>
      <c r="D18">
        <f>VLOOKUP(A7,A2:G11,5,FALSE)</f>
        <v>44510</v>
      </c>
      <c r="F18">
        <f>COUNTA(F2:F11)</f>
        <v>10</v>
      </c>
    </row>
    <row r="19" spans="2:6" x14ac:dyDescent="0.3">
      <c r="F19" t="str">
        <f>IF(F3,"high","low")</f>
        <v>high</v>
      </c>
    </row>
    <row r="20" spans="2:6" x14ac:dyDescent="0.3">
      <c r="D20" t="str">
        <f>VLOOKUP(A9,A2:H11,7,FALSE)</f>
        <v>Nagpur</v>
      </c>
      <c r="F20">
        <f>COUNTIF(C2:C11,"HR")</f>
        <v>2</v>
      </c>
    </row>
    <row r="21" spans="2:6" x14ac:dyDescent="0.3">
      <c r="F21">
        <f>SUMIF(F2:F11,"IT",B2:B11)</f>
        <v>0</v>
      </c>
    </row>
  </sheetData>
  <sortState xmlns:xlrd2="http://schemas.microsoft.com/office/spreadsheetml/2017/richdata2" ref="A2:G11">
    <sortCondition ref="B2:B11"/>
  </sortState>
  <dataConsolid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773F8-6933-43AD-822F-53B8DF668D27}">
  <dimension ref="A1:I20"/>
  <sheetViews>
    <sheetView workbookViewId="0">
      <selection activeCell="K13" sqref="K13"/>
    </sheetView>
  </sheetViews>
  <sheetFormatPr defaultRowHeight="14.4" x14ac:dyDescent="0.3"/>
  <cols>
    <col min="1" max="7" width="15.6640625" customWidth="1"/>
  </cols>
  <sheetData>
    <row r="1" spans="1:9" x14ac:dyDescent="0.3">
      <c r="A1" t="s">
        <v>0</v>
      </c>
      <c r="B1" t="s">
        <v>1</v>
      </c>
      <c r="C1" t="s">
        <v>2</v>
      </c>
      <c r="D1" t="s">
        <v>3</v>
      </c>
      <c r="E1" t="s">
        <v>4</v>
      </c>
      <c r="F1" t="s">
        <v>5</v>
      </c>
      <c r="G1" t="s">
        <v>6</v>
      </c>
    </row>
    <row r="2" spans="1:9" x14ac:dyDescent="0.3">
      <c r="A2" s="1" t="s">
        <v>17</v>
      </c>
      <c r="B2" t="s">
        <v>18</v>
      </c>
      <c r="C2" t="s">
        <v>19</v>
      </c>
      <c r="D2" t="s">
        <v>20</v>
      </c>
      <c r="E2" s="1">
        <v>44275</v>
      </c>
      <c r="F2">
        <v>55000</v>
      </c>
      <c r="G2" t="s">
        <v>21</v>
      </c>
    </row>
    <row r="3" spans="1:9" x14ac:dyDescent="0.3">
      <c r="A3" s="1" t="s">
        <v>46</v>
      </c>
      <c r="B3" t="s">
        <v>47</v>
      </c>
      <c r="C3" t="s">
        <v>29</v>
      </c>
      <c r="D3" t="s">
        <v>48</v>
      </c>
      <c r="E3" s="1">
        <v>43852</v>
      </c>
      <c r="F3">
        <v>62000</v>
      </c>
      <c r="G3" t="s">
        <v>49</v>
      </c>
    </row>
    <row r="4" spans="1:9" x14ac:dyDescent="0.3">
      <c r="A4" s="1" t="s">
        <v>36</v>
      </c>
      <c r="B4" t="s">
        <v>37</v>
      </c>
      <c r="C4" t="s">
        <v>9</v>
      </c>
      <c r="D4" t="s">
        <v>38</v>
      </c>
      <c r="E4" s="1">
        <v>43946</v>
      </c>
      <c r="F4">
        <v>65000</v>
      </c>
      <c r="G4" t="s">
        <v>11</v>
      </c>
    </row>
    <row r="5" spans="1:9" x14ac:dyDescent="0.3">
      <c r="A5" s="1" t="s">
        <v>42</v>
      </c>
      <c r="B5" t="s">
        <v>43</v>
      </c>
      <c r="C5" t="s">
        <v>24</v>
      </c>
      <c r="D5" t="s">
        <v>44</v>
      </c>
      <c r="E5" s="1">
        <v>44756</v>
      </c>
      <c r="F5">
        <v>52000</v>
      </c>
      <c r="G5" t="s">
        <v>45</v>
      </c>
    </row>
    <row r="6" spans="1:9" x14ac:dyDescent="0.3">
      <c r="A6" s="1" t="s">
        <v>22</v>
      </c>
      <c r="B6" t="s">
        <v>23</v>
      </c>
      <c r="C6" t="s">
        <v>24</v>
      </c>
      <c r="D6" t="s">
        <v>25</v>
      </c>
      <c r="E6" s="1">
        <v>45082</v>
      </c>
      <c r="F6">
        <v>42000</v>
      </c>
      <c r="G6" t="s">
        <v>26</v>
      </c>
    </row>
    <row r="7" spans="1:9" x14ac:dyDescent="0.3">
      <c r="A7" s="1" t="s">
        <v>39</v>
      </c>
      <c r="B7" t="s">
        <v>40</v>
      </c>
      <c r="C7" t="s">
        <v>14</v>
      </c>
      <c r="D7" t="s">
        <v>41</v>
      </c>
      <c r="E7" s="1">
        <v>44510</v>
      </c>
      <c r="F7">
        <v>60000</v>
      </c>
      <c r="G7" t="s">
        <v>16</v>
      </c>
    </row>
    <row r="8" spans="1:9" x14ac:dyDescent="0.3">
      <c r="A8" s="1" t="s">
        <v>12</v>
      </c>
      <c r="B8" t="s">
        <v>13</v>
      </c>
      <c r="C8" t="s">
        <v>14</v>
      </c>
      <c r="D8" t="s">
        <v>15</v>
      </c>
      <c r="E8" s="1">
        <v>44607</v>
      </c>
      <c r="F8">
        <v>40000</v>
      </c>
      <c r="G8" t="s">
        <v>16</v>
      </c>
    </row>
    <row r="9" spans="1:9" x14ac:dyDescent="0.3">
      <c r="A9" s="1" t="s">
        <v>7</v>
      </c>
      <c r="B9" t="s">
        <v>8</v>
      </c>
      <c r="C9" t="s">
        <v>9</v>
      </c>
      <c r="D9" t="s">
        <v>10</v>
      </c>
      <c r="E9" s="1">
        <v>44936</v>
      </c>
      <c r="F9">
        <v>35000</v>
      </c>
      <c r="G9" t="s">
        <v>11</v>
      </c>
    </row>
    <row r="10" spans="1:9" x14ac:dyDescent="0.3">
      <c r="A10" s="1" t="s">
        <v>27</v>
      </c>
      <c r="B10" t="s">
        <v>28</v>
      </c>
      <c r="C10" t="s">
        <v>29</v>
      </c>
      <c r="D10" t="s">
        <v>30</v>
      </c>
      <c r="E10" s="1">
        <v>44785</v>
      </c>
      <c r="F10">
        <v>38000</v>
      </c>
      <c r="G10" t="s">
        <v>31</v>
      </c>
    </row>
    <row r="11" spans="1:9" x14ac:dyDescent="0.3">
      <c r="A11" s="1" t="s">
        <v>32</v>
      </c>
      <c r="B11" t="s">
        <v>33</v>
      </c>
      <c r="C11" t="s">
        <v>19</v>
      </c>
      <c r="D11" t="s">
        <v>34</v>
      </c>
      <c r="E11" s="1">
        <v>45187</v>
      </c>
      <c r="F11">
        <v>48000</v>
      </c>
      <c r="G11" t="s">
        <v>35</v>
      </c>
      <c r="I11" s="1"/>
    </row>
    <row r="12" spans="1:9" x14ac:dyDescent="0.3">
      <c r="E12" s="1"/>
      <c r="I12" s="1"/>
    </row>
    <row r="13" spans="1:9" x14ac:dyDescent="0.3">
      <c r="E13" s="1"/>
      <c r="I13" s="1"/>
    </row>
    <row r="14" spans="1:9" x14ac:dyDescent="0.3">
      <c r="E14" s="1"/>
      <c r="I14" s="1"/>
    </row>
    <row r="15" spans="1:9" x14ac:dyDescent="0.3">
      <c r="E15" s="1"/>
      <c r="I15" s="1"/>
    </row>
    <row r="16" spans="1:9" x14ac:dyDescent="0.3">
      <c r="E16" s="1"/>
      <c r="I16" s="1"/>
    </row>
    <row r="17" spans="5:9" x14ac:dyDescent="0.3">
      <c r="E17" s="1"/>
      <c r="I17" s="1"/>
    </row>
    <row r="18" spans="5:9" x14ac:dyDescent="0.3">
      <c r="E18" s="1"/>
      <c r="I18" s="1"/>
    </row>
    <row r="19" spans="5:9" x14ac:dyDescent="0.3">
      <c r="E19" s="1"/>
      <c r="I19" s="1"/>
    </row>
    <row r="20" spans="5:9" x14ac:dyDescent="0.3">
      <c r="E20" s="1"/>
      <c r="I2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Sheet1</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achal dhawas</dc:creator>
  <cp:lastModifiedBy>achal dhawas</cp:lastModifiedBy>
  <dcterms:created xsi:type="dcterms:W3CDTF">2026-09-08T06:59:02Z</dcterms:created>
  <dcterms:modified xsi:type="dcterms:W3CDTF">2026-09-09T19:00:25Z</dcterms:modified>
</cp:coreProperties>
</file>